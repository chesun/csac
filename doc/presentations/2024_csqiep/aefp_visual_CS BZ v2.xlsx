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esun1/Library/CloudStorage/Box-Box/California Education Lab - Full Team Access/Research Projects/CSAC Survey/Gender Identities and Sexual Orientations/presentations/"/>
    </mc:Choice>
  </mc:AlternateContent>
  <xr:revisionPtr revIDLastSave="0" documentId="13_ncr:1_{20562986-E267-6B46-8DA5-4104C95D5BE4}" xr6:coauthVersionLast="47" xr6:coauthVersionMax="47" xr10:uidLastSave="{00000000-0000-0000-0000-000000000000}"/>
  <bookViews>
    <workbookView xWindow="0" yWindow="500" windowWidth="44800" windowHeight="23000" activeTab="9" xr2:uid="{00000000-000D-0000-FFFF-FFFF00000000}"/>
  </bookViews>
  <sheets>
    <sheet name="Figure 1" sheetId="7" state="hidden" r:id="rId1"/>
    <sheet name="Figure 2" sheetId="9" state="hidden" r:id="rId2"/>
    <sheet name="Figure 3" sheetId="10" state="hidden" r:id="rId3"/>
    <sheet name="Table2" sheetId="20" state="hidden" r:id="rId4"/>
    <sheet name="Figure 5" sheetId="12" state="hidden" r:id="rId5"/>
    <sheet name="HS Social" sheetId="30" r:id="rId6"/>
    <sheet name="HS Belonging" sheetId="32" r:id="rId7"/>
    <sheet name="Numbers Bullied" sheetId="16" r:id="rId8"/>
    <sheet name="Bullied for Gender SO" sheetId="28" r:id="rId9"/>
    <sheet name="Major" sheetId="33" r:id="rId10"/>
    <sheet name="Highest Degree" sheetId="34" r:id="rId11"/>
    <sheet name="Worry Discrimation Gender" sheetId="24" r:id="rId12"/>
    <sheet name="Worry Discrimation SO" sheetId="25" r:id="rId13"/>
    <sheet name="Worry Community" sheetId="26" r:id="rId14"/>
    <sheet name="Worry Support" sheetId="2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" i="33" l="1"/>
  <c r="V15" i="33"/>
  <c r="V14" i="33"/>
  <c r="V13" i="33"/>
  <c r="V12" i="33"/>
  <c r="V11" i="33"/>
  <c r="V9" i="33"/>
  <c r="V8" i="33"/>
  <c r="V7" i="33"/>
  <c r="V6" i="33"/>
  <c r="V5" i="33"/>
  <c r="V3" i="33"/>
  <c r="T16" i="33"/>
  <c r="T15" i="33"/>
  <c r="T14" i="33"/>
  <c r="T13" i="33"/>
  <c r="T12" i="33"/>
  <c r="T11" i="33"/>
  <c r="T9" i="33"/>
  <c r="T8" i="33"/>
  <c r="T7" i="33"/>
  <c r="T6" i="33"/>
  <c r="T5" i="33"/>
  <c r="T3" i="33"/>
  <c r="R16" i="33"/>
  <c r="R15" i="33"/>
  <c r="R14" i="33"/>
  <c r="R13" i="33"/>
  <c r="R12" i="33"/>
  <c r="R11" i="33"/>
  <c r="R9" i="33"/>
  <c r="R8" i="33"/>
  <c r="R7" i="33"/>
  <c r="R6" i="33"/>
  <c r="R5" i="33"/>
  <c r="R3" i="33"/>
  <c r="P16" i="33"/>
  <c r="P15" i="33"/>
  <c r="P14" i="33"/>
  <c r="P13" i="33"/>
  <c r="P12" i="33"/>
  <c r="P11" i="33"/>
  <c r="P9" i="33"/>
  <c r="P8" i="33"/>
  <c r="P7" i="33"/>
  <c r="P6" i="33"/>
  <c r="P5" i="33"/>
  <c r="P3" i="33"/>
  <c r="N16" i="33"/>
  <c r="N15" i="33"/>
  <c r="N14" i="33"/>
  <c r="N13" i="33"/>
  <c r="N12" i="33"/>
  <c r="N11" i="33"/>
  <c r="N9" i="33"/>
  <c r="N8" i="33"/>
  <c r="N7" i="33"/>
  <c r="N6" i="33"/>
  <c r="N5" i="33"/>
  <c r="N3" i="33"/>
  <c r="L16" i="33"/>
  <c r="L15" i="33"/>
  <c r="L14" i="33"/>
  <c r="L13" i="33"/>
  <c r="L12" i="33"/>
  <c r="L11" i="33"/>
  <c r="L9" i="33"/>
  <c r="L8" i="33"/>
  <c r="L7" i="33"/>
  <c r="L6" i="33"/>
  <c r="L5" i="33"/>
  <c r="L3" i="33"/>
  <c r="J16" i="33"/>
  <c r="J15" i="33"/>
  <c r="J14" i="33"/>
  <c r="J13" i="33"/>
  <c r="J12" i="33"/>
  <c r="J11" i="33"/>
  <c r="J9" i="33"/>
  <c r="J8" i="33"/>
  <c r="J7" i="33"/>
  <c r="J6" i="33"/>
  <c r="J5" i="33"/>
  <c r="J3" i="33"/>
  <c r="H16" i="33"/>
  <c r="H15" i="33"/>
  <c r="H14" i="33"/>
  <c r="H13" i="33"/>
  <c r="H12" i="33"/>
  <c r="H11" i="33"/>
  <c r="H9" i="33"/>
  <c r="H8" i="33"/>
  <c r="H7" i="33"/>
  <c r="H6" i="33"/>
  <c r="H5" i="33"/>
  <c r="H3" i="33"/>
  <c r="F16" i="33"/>
  <c r="F15" i="33"/>
  <c r="F14" i="33"/>
  <c r="F13" i="33"/>
  <c r="F12" i="33"/>
  <c r="F11" i="33"/>
  <c r="F9" i="33"/>
  <c r="F8" i="33"/>
  <c r="F7" i="33"/>
  <c r="F6" i="33"/>
  <c r="F5" i="33"/>
  <c r="F3" i="33"/>
  <c r="D16" i="33"/>
  <c r="D15" i="33"/>
  <c r="D14" i="33"/>
  <c r="D13" i="33"/>
  <c r="D12" i="33"/>
  <c r="D11" i="33"/>
  <c r="D9" i="33"/>
  <c r="D8" i="33"/>
  <c r="D7" i="33"/>
  <c r="D6" i="33"/>
  <c r="D5" i="33"/>
  <c r="D3" i="33"/>
</calcChain>
</file>

<file path=xl/sharedStrings.xml><?xml version="1.0" encoding="utf-8"?>
<sst xmlns="http://schemas.openxmlformats.org/spreadsheetml/2006/main" count="312" uniqueCount="101">
  <si>
    <t>Total</t>
  </si>
  <si>
    <t>American Indian/Alaskan Native/Pacific Islander</t>
  </si>
  <si>
    <t>Black/African American</t>
  </si>
  <si>
    <t>Hispanic/Latinx</t>
  </si>
  <si>
    <t>Filipino</t>
  </si>
  <si>
    <t>Asian</t>
  </si>
  <si>
    <t>Other</t>
  </si>
  <si>
    <t>White/Non-Hispanic</t>
  </si>
  <si>
    <t>Did not complete high school</t>
  </si>
  <si>
    <t>High school diploma</t>
  </si>
  <si>
    <t>Some college, no college degree</t>
  </si>
  <si>
    <t>Associate degree</t>
  </si>
  <si>
    <t>Bachelor's degree</t>
  </si>
  <si>
    <t>Don't know</t>
  </si>
  <si>
    <t>Poor</t>
  </si>
  <si>
    <t>Fair</t>
  </si>
  <si>
    <t>Good</t>
  </si>
  <si>
    <t>Very Good</t>
  </si>
  <si>
    <t>Excellent</t>
  </si>
  <si>
    <t>0 times</t>
  </si>
  <si>
    <t>1 time</t>
  </si>
  <si>
    <t>2-3 times</t>
  </si>
  <si>
    <t>4 or more times</t>
  </si>
  <si>
    <t>                    </t>
  </si>
  <si>
    <t>Gender</t>
  </si>
  <si>
    <t>Race</t>
  </si>
  <si>
    <t>Religion</t>
  </si>
  <si>
    <t>Hispanic/Latinx     </t>
  </si>
  <si>
    <t>Filipino            </t>
  </si>
  <si>
    <t>Asian               </t>
  </si>
  <si>
    <t>Other               </t>
  </si>
  <si>
    <t>White/Non-Hispanic  </t>
  </si>
  <si>
    <t>teachers and staff at my HS care about my future</t>
  </si>
  <si>
    <t>Strongly disagree</t>
  </si>
  <si>
    <t>Somewhat disagree</t>
  </si>
  <si>
    <t>Neither agree nor disagree</t>
  </si>
  <si>
    <t>Somewhat agree</t>
  </si>
  <si>
    <t>Strongly agree</t>
  </si>
  <si>
    <t>Not at all worried</t>
  </si>
  <si>
    <t>Slightly worried</t>
  </si>
  <si>
    <t>Somewhat worried</t>
  </si>
  <si>
    <t>Very worried</t>
  </si>
  <si>
    <t>Race/ethnicity</t>
  </si>
  <si>
    <t xml:space="preserve">All  respondents </t>
  </si>
  <si>
    <t xml:space="preserve">Graduate/professional degree </t>
  </si>
  <si>
    <t>How do you rate your HS social experience?</t>
  </si>
  <si>
    <t>Number of times bullied or harassed at school last 12 months</t>
  </si>
  <si>
    <t>All respondents               </t>
  </si>
  <si>
    <t>Reasons for Bullying</t>
  </si>
  <si>
    <t>Cis woman</t>
  </si>
  <si>
    <t>Cis man</t>
  </si>
  <si>
    <t>Unsure/prefer not to say</t>
  </si>
  <si>
    <t>Non-binary/Gender variant</t>
  </si>
  <si>
    <t>Cisgender woman</t>
  </si>
  <si>
    <t>Cisgender man</t>
  </si>
  <si>
    <t>how do you rate your high school academic experience?</t>
  </si>
  <si>
    <t xml:space="preserve">All respondents </t>
  </si>
  <si>
    <t>How worried are you about having adequate support for emotional and mental health needs</t>
  </si>
  <si>
    <t>Nonbinary/gender diverse/questioning</t>
  </si>
  <si>
    <t>Prefer not to say</t>
  </si>
  <si>
    <t>Straight/heterosexual</t>
  </si>
  <si>
    <t>Transgender</t>
  </si>
  <si>
    <t>Gay or lesbian</t>
  </si>
  <si>
    <t>Bisexual/pansexual/omnisexual</t>
  </si>
  <si>
    <t>Asexual/aromantic/demisexual</t>
  </si>
  <si>
    <t>Other/queer/questioning</t>
  </si>
  <si>
    <t>number of times bullied or harassed at school last 12 months</t>
  </si>
  <si>
    <t>How worried are you about  discrimination based on gender</t>
  </si>
  <si>
    <t xml:space="preserve">How worried are you about about discrimination based on sexual orientations </t>
  </si>
  <si>
    <t>How worried are you about finding community</t>
  </si>
  <si>
    <t xml:space="preserve"> Being bullied because of gender or sexual orientation</t>
  </si>
  <si>
    <t>No</t>
  </si>
  <si>
    <t>Yes</t>
  </si>
  <si>
    <t>N</t>
  </si>
  <si>
    <t>how do you rate your HS social experience</t>
  </si>
  <si>
    <t>Business</t>
  </si>
  <si>
    <t>Engineering</t>
  </si>
  <si>
    <t>Natural sciences (e.g., biology, chemistry, physics)</t>
  </si>
  <si>
    <t>Social sciences (e.g., psychology, sociology, economics)</t>
  </si>
  <si>
    <t>Humanities and arts (e.g., English, history, arts)</t>
  </si>
  <si>
    <t>Health sciences</t>
  </si>
  <si>
    <t>Education</t>
  </si>
  <si>
    <t>Applied sciences (e.g., automotive repair, HVAC, construction)</t>
  </si>
  <si>
    <t>Public service (e.g., criminal justice, fire science)</t>
  </si>
  <si>
    <t>Undecided</t>
  </si>
  <si>
    <t>All respondents</t>
  </si>
  <si>
    <t>Gender identity</t>
  </si>
  <si>
    <t>Sexual Orientation</t>
  </si>
  <si>
    <t>What is the highest degree you hope to complete</t>
  </si>
  <si>
    <t>Get a certificate in a vocational or technical field</t>
  </si>
  <si>
    <t>Associate degree  (AA/AS/ADT)</t>
  </si>
  <si>
    <t>Bachelor’s Degree (BA/BS)</t>
  </si>
  <si>
    <t>Master’s Degree (MA/MS)</t>
  </si>
  <si>
    <t>Doctoral Degree (Ph.D., M.D., J.D., etc.)</t>
  </si>
  <si>
    <t>I feel that belong in my high school community</t>
  </si>
  <si>
    <t>max val</t>
  </si>
  <si>
    <t>Natural sciences</t>
  </si>
  <si>
    <t>Social sciences</t>
  </si>
  <si>
    <t>Humanities and arts</t>
  </si>
  <si>
    <t>Applied sciences</t>
  </si>
  <si>
    <t>Public 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</si>
</sst>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2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1"/>
      <name val="Calibri"/>
      <family val="2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 (Body)"/>
    </font>
    <font>
      <sz val="11"/>
      <name val="Calibri (Body)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indexed="64"/>
      </bottom>
      <diagonal/>
    </border>
  </borders>
  <cellStyleXfs count="2">
    <xf numFmtId="0" fontId="0" fillId="0" borderId="0"/>
    <xf numFmtId="9" fontId="136" fillId="0" borderId="0" applyFont="0" applyFill="0" applyBorder="0" applyAlignment="0" applyProtection="0"/>
  </cellStyleXfs>
  <cellXfs count="192">
    <xf numFmtId="0" fontId="0" fillId="0" borderId="0" xfId="0"/>
    <xf numFmtId="0" fontId="2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134" fillId="0" borderId="0" xfId="0" applyFont="1"/>
    <xf numFmtId="0" fontId="1" fillId="0" borderId="0" xfId="0" applyFont="1"/>
    <xf numFmtId="0" fontId="0" fillId="0" borderId="1" xfId="0" applyBorder="1"/>
    <xf numFmtId="0" fontId="134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2" xfId="0" applyBorder="1"/>
    <xf numFmtId="2" fontId="13" fillId="0" borderId="1" xfId="0" applyNumberFormat="1" applyFont="1" applyBorder="1" applyAlignment="1">
      <alignment horizontal="right"/>
    </xf>
    <xf numFmtId="2" fontId="14" fillId="0" borderId="1" xfId="0" applyNumberFormat="1" applyFont="1" applyBorder="1" applyAlignment="1">
      <alignment horizontal="right"/>
    </xf>
    <xf numFmtId="2" fontId="15" fillId="0" borderId="1" xfId="0" applyNumberFormat="1" applyFont="1" applyBorder="1" applyAlignment="1">
      <alignment horizontal="right"/>
    </xf>
    <xf numFmtId="2" fontId="16" fillId="0" borderId="1" xfId="0" applyNumberFormat="1" applyFont="1" applyBorder="1" applyAlignment="1">
      <alignment horizontal="right"/>
    </xf>
    <xf numFmtId="2" fontId="17" fillId="0" borderId="1" xfId="0" applyNumberFormat="1" applyFont="1" applyBorder="1" applyAlignment="1">
      <alignment horizontal="right"/>
    </xf>
    <xf numFmtId="2" fontId="31" fillId="0" borderId="1" xfId="0" applyNumberFormat="1" applyFont="1" applyBorder="1" applyAlignment="1">
      <alignment horizontal="right"/>
    </xf>
    <xf numFmtId="2" fontId="32" fillId="0" borderId="1" xfId="0" applyNumberFormat="1" applyFont="1" applyBorder="1" applyAlignment="1">
      <alignment horizontal="right"/>
    </xf>
    <xf numFmtId="2" fontId="33" fillId="0" borderId="1" xfId="0" applyNumberFormat="1" applyFont="1" applyBorder="1" applyAlignment="1">
      <alignment horizontal="right"/>
    </xf>
    <xf numFmtId="2" fontId="34" fillId="0" borderId="1" xfId="0" applyNumberFormat="1" applyFont="1" applyBorder="1" applyAlignment="1">
      <alignment horizontal="right"/>
    </xf>
    <xf numFmtId="2" fontId="35" fillId="0" borderId="1" xfId="0" applyNumberFormat="1" applyFont="1" applyBorder="1" applyAlignment="1">
      <alignment horizontal="right"/>
    </xf>
    <xf numFmtId="0" fontId="3" fillId="0" borderId="1" xfId="0" applyFont="1" applyBorder="1"/>
    <xf numFmtId="2" fontId="55" fillId="0" borderId="1" xfId="0" applyNumberFormat="1" applyFont="1" applyBorder="1" applyAlignment="1">
      <alignment horizontal="right"/>
    </xf>
    <xf numFmtId="2" fontId="56" fillId="0" borderId="1" xfId="0" applyNumberFormat="1" applyFont="1" applyBorder="1" applyAlignment="1">
      <alignment horizontal="right"/>
    </xf>
    <xf numFmtId="2" fontId="57" fillId="0" borderId="1" xfId="0" applyNumberFormat="1" applyFont="1" applyBorder="1" applyAlignment="1">
      <alignment horizontal="right"/>
    </xf>
    <xf numFmtId="2" fontId="58" fillId="0" borderId="1" xfId="0" applyNumberFormat="1" applyFont="1" applyBorder="1" applyAlignment="1">
      <alignment horizontal="right"/>
    </xf>
    <xf numFmtId="2" fontId="59" fillId="0" borderId="1" xfId="0" applyNumberFormat="1" applyFont="1" applyBorder="1" applyAlignment="1">
      <alignment horizontal="right"/>
    </xf>
    <xf numFmtId="2" fontId="60" fillId="0" borderId="1" xfId="0" applyNumberFormat="1" applyFont="1" applyBorder="1" applyAlignment="1">
      <alignment horizontal="right"/>
    </xf>
    <xf numFmtId="2" fontId="18" fillId="0" borderId="1" xfId="0" applyNumberFormat="1" applyFont="1" applyBorder="1" applyAlignment="1">
      <alignment horizontal="right"/>
    </xf>
    <xf numFmtId="2" fontId="37" fillId="0" borderId="1" xfId="0" applyNumberFormat="1" applyFont="1" applyBorder="1" applyAlignment="1">
      <alignment horizontal="right"/>
    </xf>
    <xf numFmtId="2" fontId="38" fillId="0" borderId="1" xfId="0" applyNumberFormat="1" applyFont="1" applyBorder="1" applyAlignment="1">
      <alignment horizontal="right"/>
    </xf>
    <xf numFmtId="2" fontId="39" fillId="0" borderId="1" xfId="0" applyNumberFormat="1" applyFont="1" applyBorder="1" applyAlignment="1">
      <alignment horizontal="right"/>
    </xf>
    <xf numFmtId="2" fontId="40" fillId="0" borderId="1" xfId="0" applyNumberFormat="1" applyFont="1" applyBorder="1" applyAlignment="1">
      <alignment horizontal="right"/>
    </xf>
    <xf numFmtId="2" fontId="41" fillId="0" borderId="1" xfId="0" applyNumberFormat="1" applyFont="1" applyBorder="1" applyAlignment="1">
      <alignment horizontal="right"/>
    </xf>
    <xf numFmtId="2" fontId="42" fillId="0" borderId="1" xfId="0" applyNumberFormat="1" applyFont="1" applyBorder="1" applyAlignment="1">
      <alignment horizontal="right"/>
    </xf>
    <xf numFmtId="2" fontId="19" fillId="0" borderId="1" xfId="0" applyNumberFormat="1" applyFont="1" applyBorder="1" applyAlignment="1">
      <alignment horizontal="right"/>
    </xf>
    <xf numFmtId="2" fontId="20" fillId="0" borderId="1" xfId="0" applyNumberFormat="1" applyFont="1" applyBorder="1" applyAlignment="1">
      <alignment horizontal="right"/>
    </xf>
    <xf numFmtId="2" fontId="21" fillId="0" borderId="1" xfId="0" applyNumberFormat="1" applyFont="1" applyBorder="1" applyAlignment="1">
      <alignment horizontal="right"/>
    </xf>
    <xf numFmtId="2" fontId="22" fillId="0" borderId="1" xfId="0" applyNumberFormat="1" applyFont="1" applyBorder="1" applyAlignment="1">
      <alignment horizontal="right"/>
    </xf>
    <xf numFmtId="2" fontId="23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2" fontId="25" fillId="0" borderId="1" xfId="0" applyNumberFormat="1" applyFont="1" applyBorder="1" applyAlignment="1">
      <alignment horizontal="right"/>
    </xf>
    <xf numFmtId="2" fontId="26" fillId="0" borderId="1" xfId="0" applyNumberFormat="1" applyFont="1" applyBorder="1" applyAlignment="1">
      <alignment horizontal="right"/>
    </xf>
    <xf numFmtId="2" fontId="27" fillId="0" borderId="1" xfId="0" applyNumberFormat="1" applyFont="1" applyBorder="1" applyAlignment="1">
      <alignment horizontal="right"/>
    </xf>
    <xf numFmtId="2" fontId="28" fillId="0" borderId="1" xfId="0" applyNumberFormat="1" applyFont="1" applyBorder="1" applyAlignment="1">
      <alignment horizontal="right"/>
    </xf>
    <xf numFmtId="2" fontId="29" fillId="0" borderId="1" xfId="0" applyNumberFormat="1" applyFont="1" applyBorder="1" applyAlignment="1">
      <alignment horizontal="right"/>
    </xf>
    <xf numFmtId="2" fontId="30" fillId="0" borderId="1" xfId="0" applyNumberFormat="1" applyFont="1" applyBorder="1" applyAlignment="1">
      <alignment horizontal="right"/>
    </xf>
    <xf numFmtId="2" fontId="36" fillId="0" borderId="1" xfId="0" applyNumberFormat="1" applyFont="1" applyBorder="1" applyAlignment="1">
      <alignment horizontal="right"/>
    </xf>
    <xf numFmtId="2" fontId="49" fillId="0" borderId="1" xfId="0" applyNumberFormat="1" applyFont="1" applyBorder="1" applyAlignment="1">
      <alignment horizontal="right"/>
    </xf>
    <xf numFmtId="2" fontId="50" fillId="0" borderId="1" xfId="0" applyNumberFormat="1" applyFont="1" applyBorder="1" applyAlignment="1">
      <alignment horizontal="right"/>
    </xf>
    <xf numFmtId="2" fontId="51" fillId="0" borderId="1" xfId="0" applyNumberFormat="1" applyFont="1" applyBorder="1" applyAlignment="1">
      <alignment horizontal="right"/>
    </xf>
    <xf numFmtId="2" fontId="52" fillId="0" borderId="1" xfId="0" applyNumberFormat="1" applyFont="1" applyBorder="1" applyAlignment="1">
      <alignment horizontal="right"/>
    </xf>
    <xf numFmtId="2" fontId="53" fillId="0" borderId="1" xfId="0" applyNumberFormat="1" applyFont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2" fontId="43" fillId="0" borderId="1" xfId="0" applyNumberFormat="1" applyFont="1" applyBorder="1" applyAlignment="1">
      <alignment horizontal="right"/>
    </xf>
    <xf numFmtId="2" fontId="44" fillId="0" borderId="1" xfId="0" applyNumberFormat="1" applyFont="1" applyBorder="1" applyAlignment="1">
      <alignment horizontal="right"/>
    </xf>
    <xf numFmtId="2" fontId="45" fillId="0" borderId="1" xfId="0" applyNumberFormat="1" applyFont="1" applyBorder="1" applyAlignment="1">
      <alignment horizontal="right"/>
    </xf>
    <xf numFmtId="2" fontId="46" fillId="0" borderId="1" xfId="0" applyNumberFormat="1" applyFont="1" applyBorder="1" applyAlignment="1">
      <alignment horizontal="right"/>
    </xf>
    <xf numFmtId="2" fontId="47" fillId="0" borderId="1" xfId="0" applyNumberFormat="1" applyFont="1" applyBorder="1" applyAlignment="1">
      <alignment horizontal="right"/>
    </xf>
    <xf numFmtId="2" fontId="48" fillId="0" borderId="1" xfId="0" applyNumberFormat="1" applyFont="1" applyBorder="1" applyAlignment="1">
      <alignment horizontal="right"/>
    </xf>
    <xf numFmtId="2" fontId="61" fillId="0" borderId="1" xfId="0" applyNumberFormat="1" applyFont="1" applyBorder="1" applyAlignment="1">
      <alignment horizontal="right"/>
    </xf>
    <xf numFmtId="2" fontId="62" fillId="0" borderId="1" xfId="0" applyNumberFormat="1" applyFont="1" applyBorder="1" applyAlignment="1">
      <alignment horizontal="right"/>
    </xf>
    <xf numFmtId="2" fontId="63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2" fontId="65" fillId="0" borderId="1" xfId="0" applyNumberFormat="1" applyFont="1" applyBorder="1" applyAlignment="1">
      <alignment horizontal="right"/>
    </xf>
    <xf numFmtId="2" fontId="66" fillId="0" borderId="1" xfId="0" applyNumberFormat="1" applyFont="1" applyBorder="1" applyAlignment="1">
      <alignment horizontal="right"/>
    </xf>
    <xf numFmtId="2" fontId="67" fillId="0" borderId="1" xfId="0" applyNumberFormat="1" applyFont="1" applyBorder="1" applyAlignment="1">
      <alignment horizontal="right"/>
    </xf>
    <xf numFmtId="2" fontId="68" fillId="0" borderId="1" xfId="0" applyNumberFormat="1" applyFont="1" applyBorder="1" applyAlignment="1">
      <alignment horizontal="right"/>
    </xf>
    <xf numFmtId="2" fontId="69" fillId="0" borderId="1" xfId="0" applyNumberFormat="1" applyFont="1" applyBorder="1" applyAlignment="1">
      <alignment horizontal="right"/>
    </xf>
    <xf numFmtId="2" fontId="70" fillId="0" borderId="1" xfId="0" applyNumberFormat="1" applyFont="1" applyBorder="1" applyAlignment="1">
      <alignment horizontal="right"/>
    </xf>
    <xf numFmtId="2" fontId="71" fillId="0" borderId="1" xfId="0" applyNumberFormat="1" applyFont="1" applyBorder="1" applyAlignment="1">
      <alignment horizontal="right"/>
    </xf>
    <xf numFmtId="2" fontId="72" fillId="0" borderId="1" xfId="0" applyNumberFormat="1" applyFont="1" applyBorder="1" applyAlignment="1">
      <alignment horizontal="right"/>
    </xf>
    <xf numFmtId="2" fontId="73" fillId="0" borderId="1" xfId="0" applyNumberFormat="1" applyFont="1" applyBorder="1" applyAlignment="1">
      <alignment horizontal="right"/>
    </xf>
    <xf numFmtId="2" fontId="74" fillId="0" borderId="1" xfId="0" applyNumberFormat="1" applyFont="1" applyBorder="1" applyAlignment="1">
      <alignment horizontal="right"/>
    </xf>
    <xf numFmtId="2" fontId="75" fillId="0" borderId="1" xfId="0" applyNumberFormat="1" applyFont="1" applyBorder="1" applyAlignment="1">
      <alignment horizontal="right"/>
    </xf>
    <xf numFmtId="2" fontId="76" fillId="0" borderId="1" xfId="0" applyNumberFormat="1" applyFont="1" applyBorder="1" applyAlignment="1">
      <alignment horizontal="right"/>
    </xf>
    <xf numFmtId="2" fontId="77" fillId="0" borderId="1" xfId="0" applyNumberFormat="1" applyFont="1" applyBorder="1" applyAlignment="1">
      <alignment horizontal="right"/>
    </xf>
    <xf numFmtId="2" fontId="78" fillId="0" borderId="1" xfId="0" applyNumberFormat="1" applyFont="1" applyBorder="1" applyAlignment="1">
      <alignment horizontal="right"/>
    </xf>
    <xf numFmtId="2" fontId="79" fillId="0" borderId="1" xfId="0" applyNumberFormat="1" applyFont="1" applyBorder="1" applyAlignment="1">
      <alignment horizontal="right"/>
    </xf>
    <xf numFmtId="2" fontId="80" fillId="0" borderId="1" xfId="0" applyNumberFormat="1" applyFont="1" applyBorder="1" applyAlignment="1">
      <alignment horizontal="right"/>
    </xf>
    <xf numFmtId="2" fontId="81" fillId="0" borderId="1" xfId="0" applyNumberFormat="1" applyFont="1" applyBorder="1" applyAlignment="1">
      <alignment horizontal="right"/>
    </xf>
    <xf numFmtId="2" fontId="82" fillId="0" borderId="1" xfId="0" applyNumberFormat="1" applyFont="1" applyBorder="1" applyAlignment="1">
      <alignment horizontal="right"/>
    </xf>
    <xf numFmtId="2" fontId="83" fillId="0" borderId="1" xfId="0" applyNumberFormat="1" applyFont="1" applyBorder="1" applyAlignment="1">
      <alignment horizontal="right"/>
    </xf>
    <xf numFmtId="2" fontId="84" fillId="0" borderId="1" xfId="0" applyNumberFormat="1" applyFont="1" applyBorder="1" applyAlignment="1">
      <alignment horizontal="right"/>
    </xf>
    <xf numFmtId="2" fontId="92" fillId="0" borderId="1" xfId="0" applyNumberFormat="1" applyFont="1" applyBorder="1" applyAlignment="1">
      <alignment horizontal="right"/>
    </xf>
    <xf numFmtId="2" fontId="93" fillId="0" borderId="1" xfId="0" applyNumberFormat="1" applyFont="1" applyBorder="1" applyAlignment="1">
      <alignment horizontal="right"/>
    </xf>
    <xf numFmtId="2" fontId="94" fillId="0" borderId="1" xfId="0" applyNumberFormat="1" applyFont="1" applyBorder="1" applyAlignment="1">
      <alignment horizontal="right"/>
    </xf>
    <xf numFmtId="2" fontId="95" fillId="0" borderId="1" xfId="0" applyNumberFormat="1" applyFont="1" applyBorder="1" applyAlignment="1">
      <alignment horizontal="right"/>
    </xf>
    <xf numFmtId="2" fontId="96" fillId="0" borderId="1" xfId="0" applyNumberFormat="1" applyFont="1" applyBorder="1" applyAlignment="1">
      <alignment horizontal="right"/>
    </xf>
    <xf numFmtId="2" fontId="97" fillId="0" borderId="1" xfId="0" applyNumberFormat="1" applyFont="1" applyBorder="1" applyAlignment="1">
      <alignment horizontal="right"/>
    </xf>
    <xf numFmtId="2" fontId="98" fillId="0" borderId="1" xfId="0" applyNumberFormat="1" applyFont="1" applyBorder="1" applyAlignment="1">
      <alignment horizontal="right"/>
    </xf>
    <xf numFmtId="2" fontId="99" fillId="0" borderId="1" xfId="0" applyNumberFormat="1" applyFont="1" applyBorder="1" applyAlignment="1">
      <alignment horizontal="right"/>
    </xf>
    <xf numFmtId="2" fontId="100" fillId="0" borderId="1" xfId="0" applyNumberFormat="1" applyFont="1" applyBorder="1" applyAlignment="1">
      <alignment horizontal="right"/>
    </xf>
    <xf numFmtId="2" fontId="101" fillId="0" borderId="1" xfId="0" applyNumberFormat="1" applyFont="1" applyBorder="1" applyAlignment="1">
      <alignment horizontal="right"/>
    </xf>
    <xf numFmtId="2" fontId="102" fillId="0" borderId="1" xfId="0" applyNumberFormat="1" applyFont="1" applyBorder="1" applyAlignment="1">
      <alignment horizontal="right"/>
    </xf>
    <xf numFmtId="2" fontId="103" fillId="0" borderId="1" xfId="0" applyNumberFormat="1" applyFont="1" applyBorder="1" applyAlignment="1">
      <alignment horizontal="right"/>
    </xf>
    <xf numFmtId="2" fontId="104" fillId="0" borderId="1" xfId="0" applyNumberFormat="1" applyFont="1" applyBorder="1" applyAlignment="1">
      <alignment horizontal="right"/>
    </xf>
    <xf numFmtId="2" fontId="105" fillId="0" borderId="1" xfId="0" applyNumberFormat="1" applyFont="1" applyBorder="1" applyAlignment="1">
      <alignment horizontal="right"/>
    </xf>
    <xf numFmtId="2" fontId="106" fillId="0" borderId="1" xfId="0" applyNumberFormat="1" applyFont="1" applyBorder="1" applyAlignment="1">
      <alignment horizontal="right"/>
    </xf>
    <xf numFmtId="2" fontId="107" fillId="0" borderId="1" xfId="0" applyNumberFormat="1" applyFont="1" applyBorder="1" applyAlignment="1">
      <alignment horizontal="right"/>
    </xf>
    <xf numFmtId="2" fontId="108" fillId="0" borderId="1" xfId="0" applyNumberFormat="1" applyFont="1" applyBorder="1" applyAlignment="1">
      <alignment horizontal="right"/>
    </xf>
    <xf numFmtId="2" fontId="109" fillId="0" borderId="1" xfId="0" applyNumberFormat="1" applyFont="1" applyBorder="1" applyAlignment="1">
      <alignment horizontal="right"/>
    </xf>
    <xf numFmtId="2" fontId="110" fillId="0" borderId="1" xfId="0" applyNumberFormat="1" applyFont="1" applyBorder="1" applyAlignment="1">
      <alignment horizontal="right"/>
    </xf>
    <xf numFmtId="2" fontId="111" fillId="0" borderId="1" xfId="0" applyNumberFormat="1" applyFont="1" applyBorder="1" applyAlignment="1">
      <alignment horizontal="right"/>
    </xf>
    <xf numFmtId="2" fontId="112" fillId="0" borderId="1" xfId="0" applyNumberFormat="1" applyFont="1" applyBorder="1" applyAlignment="1">
      <alignment horizontal="right"/>
    </xf>
    <xf numFmtId="2" fontId="113" fillId="0" borderId="1" xfId="0" applyNumberFormat="1" applyFont="1" applyBorder="1" applyAlignment="1">
      <alignment horizontal="right"/>
    </xf>
    <xf numFmtId="2" fontId="114" fillId="0" borderId="1" xfId="0" applyNumberFormat="1" applyFont="1" applyBorder="1" applyAlignment="1">
      <alignment horizontal="right"/>
    </xf>
    <xf numFmtId="2" fontId="115" fillId="0" borderId="1" xfId="0" applyNumberFormat="1" applyFont="1" applyBorder="1" applyAlignment="1">
      <alignment horizontal="right"/>
    </xf>
    <xf numFmtId="2" fontId="116" fillId="0" borderId="1" xfId="0" applyNumberFormat="1" applyFont="1" applyBorder="1" applyAlignment="1">
      <alignment horizontal="right"/>
    </xf>
    <xf numFmtId="2" fontId="117" fillId="0" borderId="1" xfId="0" applyNumberFormat="1" applyFont="1" applyBorder="1" applyAlignment="1">
      <alignment horizontal="right"/>
    </xf>
    <xf numFmtId="2" fontId="118" fillId="0" borderId="1" xfId="0" applyNumberFormat="1" applyFont="1" applyBorder="1" applyAlignment="1">
      <alignment horizontal="right"/>
    </xf>
    <xf numFmtId="2" fontId="119" fillId="0" borderId="1" xfId="0" applyNumberFormat="1" applyFont="1" applyBorder="1" applyAlignment="1">
      <alignment horizontal="right"/>
    </xf>
    <xf numFmtId="2" fontId="120" fillId="0" borderId="1" xfId="0" applyNumberFormat="1" applyFont="1" applyBorder="1" applyAlignment="1">
      <alignment horizontal="right"/>
    </xf>
    <xf numFmtId="2" fontId="121" fillId="0" borderId="1" xfId="0" applyNumberFormat="1" applyFont="1" applyBorder="1" applyAlignment="1">
      <alignment horizontal="right"/>
    </xf>
    <xf numFmtId="2" fontId="122" fillId="0" borderId="1" xfId="0" applyNumberFormat="1" applyFont="1" applyBorder="1" applyAlignment="1">
      <alignment horizontal="right"/>
    </xf>
    <xf numFmtId="2" fontId="123" fillId="0" borderId="1" xfId="0" applyNumberFormat="1" applyFont="1" applyBorder="1" applyAlignment="1">
      <alignment horizontal="right"/>
    </xf>
    <xf numFmtId="2" fontId="124" fillId="0" borderId="1" xfId="0" applyNumberFormat="1" applyFont="1" applyBorder="1" applyAlignment="1">
      <alignment horizontal="right"/>
    </xf>
    <xf numFmtId="2" fontId="125" fillId="0" borderId="1" xfId="0" applyNumberFormat="1" applyFont="1" applyBorder="1" applyAlignment="1">
      <alignment horizontal="right"/>
    </xf>
    <xf numFmtId="2" fontId="126" fillId="0" borderId="1" xfId="0" applyNumberFormat="1" applyFont="1" applyBorder="1" applyAlignment="1">
      <alignment horizontal="right"/>
    </xf>
    <xf numFmtId="2" fontId="127" fillId="0" borderId="1" xfId="0" applyNumberFormat="1" applyFont="1" applyBorder="1" applyAlignment="1">
      <alignment horizontal="right"/>
    </xf>
    <xf numFmtId="2" fontId="128" fillId="0" borderId="1" xfId="0" applyNumberFormat="1" applyFont="1" applyBorder="1" applyAlignment="1">
      <alignment horizontal="right"/>
    </xf>
    <xf numFmtId="2" fontId="129" fillId="0" borderId="1" xfId="0" applyNumberFormat="1" applyFont="1" applyBorder="1" applyAlignment="1">
      <alignment horizontal="right"/>
    </xf>
    <xf numFmtId="2" fontId="130" fillId="0" borderId="1" xfId="0" applyNumberFormat="1" applyFont="1" applyBorder="1" applyAlignment="1">
      <alignment horizontal="right"/>
    </xf>
    <xf numFmtId="2" fontId="131" fillId="0" borderId="1" xfId="0" applyNumberFormat="1" applyFont="1" applyBorder="1" applyAlignment="1">
      <alignment horizontal="right"/>
    </xf>
    <xf numFmtId="2" fontId="132" fillId="0" borderId="1" xfId="0" applyNumberFormat="1" applyFont="1" applyBorder="1" applyAlignment="1">
      <alignment horizontal="right"/>
    </xf>
    <xf numFmtId="2" fontId="133" fillId="0" borderId="1" xfId="0" applyNumberFormat="1" applyFont="1" applyBorder="1" applyAlignment="1">
      <alignment horizontal="right"/>
    </xf>
    <xf numFmtId="0" fontId="4" fillId="0" borderId="1" xfId="0" applyFont="1" applyBorder="1"/>
    <xf numFmtId="0" fontId="5" fillId="0" borderId="1" xfId="0" applyFont="1" applyBorder="1"/>
    <xf numFmtId="0" fontId="9" fillId="0" borderId="1" xfId="0" applyFont="1" applyBorder="1"/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12" fillId="0" borderId="1" xfId="0" applyFont="1" applyBorder="1"/>
    <xf numFmtId="0" fontId="10" fillId="0" borderId="1" xfId="0" applyFont="1" applyBorder="1"/>
    <xf numFmtId="0" fontId="11" fillId="0" borderId="1" xfId="0" applyFont="1" applyBorder="1"/>
    <xf numFmtId="0" fontId="85" fillId="0" borderId="1" xfId="0" applyFont="1" applyBorder="1"/>
    <xf numFmtId="0" fontId="86" fillId="0" borderId="1" xfId="0" applyFont="1" applyBorder="1"/>
    <xf numFmtId="0" fontId="87" fillId="0" borderId="1" xfId="0" applyFont="1" applyBorder="1"/>
    <xf numFmtId="0" fontId="88" fillId="0" borderId="1" xfId="0" applyFont="1" applyBorder="1"/>
    <xf numFmtId="0" fontId="89" fillId="0" borderId="1" xfId="0" applyFont="1" applyBorder="1"/>
    <xf numFmtId="0" fontId="90" fillId="0" borderId="1" xfId="0" applyFont="1" applyBorder="1"/>
    <xf numFmtId="0" fontId="91" fillId="0" borderId="1" xfId="0" applyFon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34" fillId="0" borderId="2" xfId="0" applyFont="1" applyBorder="1"/>
    <xf numFmtId="9" fontId="135" fillId="0" borderId="3" xfId="1" applyFont="1" applyBorder="1" applyAlignment="1">
      <alignment horizontal="center"/>
    </xf>
    <xf numFmtId="9" fontId="135" fillId="2" borderId="0" xfId="1" applyFont="1" applyFill="1" applyAlignment="1">
      <alignment horizontal="center"/>
    </xf>
    <xf numFmtId="9" fontId="135" fillId="0" borderId="0" xfId="1" applyFont="1" applyAlignment="1">
      <alignment horizontal="center"/>
    </xf>
    <xf numFmtId="9" fontId="135" fillId="0" borderId="2" xfId="1" applyFont="1" applyBorder="1" applyAlignment="1">
      <alignment horizontal="center"/>
    </xf>
    <xf numFmtId="0" fontId="134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0" fontId="1" fillId="0" borderId="1" xfId="0" applyFont="1" applyBorder="1"/>
    <xf numFmtId="16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138" fillId="0" borderId="1" xfId="0" applyFont="1" applyBorder="1" applyAlignment="1">
      <alignment horizontal="left"/>
    </xf>
    <xf numFmtId="0" fontId="138" fillId="0" borderId="1" xfId="0" applyFont="1" applyBorder="1"/>
    <xf numFmtId="0" fontId="139" fillId="0" borderId="1" xfId="0" applyFont="1" applyBorder="1"/>
    <xf numFmtId="0" fontId="139" fillId="0" borderId="1" xfId="0" applyFont="1" applyBorder="1" applyAlignment="1">
      <alignment horizontal="left"/>
    </xf>
    <xf numFmtId="0" fontId="139" fillId="0" borderId="1" xfId="0" applyFont="1" applyBorder="1" applyAlignment="1">
      <alignment horizontal="right"/>
    </xf>
    <xf numFmtId="164" fontId="140" fillId="0" borderId="1" xfId="0" applyNumberFormat="1" applyFont="1" applyBorder="1" applyAlignment="1">
      <alignment horizontal="right"/>
    </xf>
    <xf numFmtId="164" fontId="141" fillId="0" borderId="1" xfId="0" applyNumberFormat="1" applyFont="1" applyBorder="1"/>
    <xf numFmtId="164" fontId="141" fillId="0" borderId="1" xfId="0" applyNumberFormat="1" applyFont="1" applyBorder="1" applyAlignment="1">
      <alignment horizontal="right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right"/>
    </xf>
    <xf numFmtId="2" fontId="0" fillId="0" borderId="4" xfId="0" applyNumberForma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37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right"/>
    </xf>
    <xf numFmtId="2" fontId="0" fillId="0" borderId="1" xfId="0" applyNumberFormat="1" applyBorder="1"/>
    <xf numFmtId="1" fontId="1" fillId="3" borderId="1" xfId="0" applyNumberFormat="1" applyFont="1" applyFill="1" applyBorder="1" applyAlignment="1">
      <alignment horizontal="right"/>
    </xf>
    <xf numFmtId="1" fontId="141" fillId="3" borderId="1" xfId="0" applyNumberFormat="1" applyFont="1" applyFill="1" applyBorder="1"/>
    <xf numFmtId="1" fontId="141" fillId="3" borderId="1" xfId="0" applyNumberFormat="1" applyFont="1" applyFill="1" applyBorder="1" applyAlignment="1">
      <alignment horizontal="right"/>
    </xf>
    <xf numFmtId="0" fontId="139" fillId="0" borderId="1" xfId="0" applyFont="1" applyBorder="1" applyAlignment="1">
      <alignment horizontal="center" vertical="center" wrapText="1"/>
    </xf>
    <xf numFmtId="0" fontId="139" fillId="0" borderId="1" xfId="0" applyFont="1" applyBorder="1" applyAlignment="1">
      <alignment horizontal="center" vertical="center"/>
    </xf>
    <xf numFmtId="164" fontId="138" fillId="0" borderId="3" xfId="0" applyNumberFormat="1" applyFont="1" applyBorder="1" applyAlignment="1">
      <alignment horizontal="center" vertical="center"/>
    </xf>
    <xf numFmtId="0" fontId="138" fillId="2" borderId="0" xfId="0" applyFont="1" applyFill="1" applyAlignment="1">
      <alignment horizontal="center" vertical="center"/>
    </xf>
    <xf numFmtId="164" fontId="138" fillId="0" borderId="1" xfId="0" applyNumberFormat="1" applyFont="1" applyBorder="1" applyAlignment="1">
      <alignment horizontal="center" vertical="center"/>
    </xf>
    <xf numFmtId="0" fontId="138" fillId="0" borderId="2" xfId="0" applyFont="1" applyBorder="1"/>
    <xf numFmtId="164" fontId="138" fillId="0" borderId="2" xfId="0" applyNumberFormat="1" applyFont="1" applyBorder="1" applyAlignment="1">
      <alignment horizontal="center" vertical="center"/>
    </xf>
    <xf numFmtId="2" fontId="138" fillId="2" borderId="1" xfId="0" applyNumberFormat="1" applyFont="1" applyFill="1" applyBorder="1" applyAlignment="1">
      <alignment horizontal="center" vertical="center"/>
    </xf>
    <xf numFmtId="0" fontId="138" fillId="2" borderId="1" xfId="0" applyFont="1" applyFill="1" applyBorder="1" applyAlignment="1">
      <alignment horizontal="center" vertical="center"/>
    </xf>
    <xf numFmtId="164" fontId="138" fillId="2" borderId="4" xfId="0" applyNumberFormat="1" applyFont="1" applyFill="1" applyBorder="1" applyAlignment="1">
      <alignment horizontal="center" vertical="center"/>
    </xf>
    <xf numFmtId="0" fontId="139" fillId="2" borderId="1" xfId="0" applyFont="1" applyFill="1" applyBorder="1" applyAlignment="1">
      <alignment horizontal="left"/>
    </xf>
    <xf numFmtId="0" fontId="139" fillId="0" borderId="3" xfId="0" applyFont="1" applyBorder="1"/>
    <xf numFmtId="0" fontId="139" fillId="2" borderId="4" xfId="0" applyFont="1" applyFill="1" applyBorder="1"/>
    <xf numFmtId="0" fontId="134" fillId="0" borderId="3" xfId="0" applyFont="1" applyBorder="1"/>
    <xf numFmtId="0" fontId="134" fillId="2" borderId="1" xfId="0" applyFont="1" applyFill="1" applyBorder="1"/>
    <xf numFmtId="0" fontId="134" fillId="2" borderId="4" xfId="0" applyFont="1" applyFill="1" applyBorder="1"/>
    <xf numFmtId="0" fontId="2" fillId="0" borderId="0" xfId="0" applyFont="1" applyAlignment="1">
      <alignment horizontal="center"/>
    </xf>
    <xf numFmtId="0" fontId="139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76D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How do you rate your high</a:t>
            </a:r>
            <a:r>
              <a:rPr lang="en-US" sz="1200" baseline="0">
                <a:solidFill>
                  <a:schemeClr val="tx1"/>
                </a:solidFill>
              </a:rPr>
              <a:t> school</a:t>
            </a:r>
            <a:r>
              <a:rPr lang="en-US" sz="1200">
                <a:solidFill>
                  <a:schemeClr val="tx1"/>
                </a:solidFill>
              </a:rPr>
              <a:t> academic experience?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425156608405209"/>
          <c:y val="6.3367011173433435E-2"/>
          <c:w val="0.64535661108800924"/>
          <c:h val="0.7976319698631999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'Figure 1'!$B$2</c:f>
              <c:strCache>
                <c:ptCount val="1"/>
                <c:pt idx="0">
                  <c:v>Poor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'Figure 1'!$A$3:$A$24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1'!$B$3:$B$24</c:f>
              <c:numCache>
                <c:formatCode>General</c:formatCode>
                <c:ptCount val="22"/>
                <c:pt idx="0" formatCode="0.00">
                  <c:v>2.3412204234122038</c:v>
                </c:pt>
                <c:pt idx="2" formatCode="0.00">
                  <c:v>1.619433198380567</c:v>
                </c:pt>
                <c:pt idx="3" formatCode="0.00">
                  <c:v>1.375752364574377</c:v>
                </c:pt>
                <c:pt idx="4" formatCode="0.00">
                  <c:v>3.0411449016100178</c:v>
                </c:pt>
                <c:pt idx="5" formatCode="0.00">
                  <c:v>3.1726512543039842</c:v>
                </c:pt>
                <c:pt idx="6" formatCode="0.00">
                  <c:v>1.229508196721312</c:v>
                </c:pt>
                <c:pt idx="7" formatCode="0.00">
                  <c:v>0.9658725048293626</c:v>
                </c:pt>
                <c:pt idx="8" formatCode="0.00">
                  <c:v>2.0202020202020199</c:v>
                </c:pt>
                <c:pt idx="10" formatCode="0.00">
                  <c:v>1.9986675549633579</c:v>
                </c:pt>
                <c:pt idx="11" formatCode="0.00">
                  <c:v>2.6536312849162011</c:v>
                </c:pt>
                <c:pt idx="12" formatCode="0.00">
                  <c:v>3.1100478468899522</c:v>
                </c:pt>
                <c:pt idx="13" formatCode="0.00">
                  <c:v>4.7120418848167542</c:v>
                </c:pt>
                <c:pt idx="15" formatCode="0.00">
                  <c:v>3.340149965916837</c:v>
                </c:pt>
                <c:pt idx="16" formatCode="0.00">
                  <c:v>2.9274004683840751</c:v>
                </c:pt>
                <c:pt idx="17" formatCode="0.00">
                  <c:v>2.9325513196480939</c:v>
                </c:pt>
                <c:pt idx="18" formatCode="0.00">
                  <c:v>1.054852320675105</c:v>
                </c:pt>
                <c:pt idx="19" formatCode="0.00">
                  <c:v>1.649928263988522</c:v>
                </c:pt>
                <c:pt idx="20" formatCode="0.00">
                  <c:v>1.0101010101010099</c:v>
                </c:pt>
                <c:pt idx="21" formatCode="0.00">
                  <c:v>3.3557046979865768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7C-A140-B901-B8D092E0AACD}"/>
            </c:ext>
          </c:extLst>
        </c:ser>
        <c:ser>
          <c:idx val="1"/>
          <c:order val="1"/>
          <c:tx>
            <c:strRef>
              <c:f>'Figure 1'!$C$2</c:f>
              <c:strCache>
                <c:ptCount val="1"/>
                <c:pt idx="0">
                  <c:v>Fair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'Figure 1'!$A$3:$A$24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1'!$C$3:$C$24</c:f>
              <c:numCache>
                <c:formatCode>General</c:formatCode>
                <c:ptCount val="22"/>
                <c:pt idx="0" formatCode="0.00">
                  <c:v>13.163138231631381</c:v>
                </c:pt>
                <c:pt idx="2" formatCode="0.00">
                  <c:v>14.979757085020241</c:v>
                </c:pt>
                <c:pt idx="3" formatCode="0.00">
                  <c:v>9.5442820292347381</c:v>
                </c:pt>
                <c:pt idx="4" formatCode="0.00">
                  <c:v>15.74239713774598</c:v>
                </c:pt>
                <c:pt idx="5" formatCode="0.00">
                  <c:v>16.601082144613869</c:v>
                </c:pt>
                <c:pt idx="6" formatCode="0.00">
                  <c:v>7.3770491803278686</c:v>
                </c:pt>
                <c:pt idx="7" formatCode="0.00">
                  <c:v>7.2118480360592399</c:v>
                </c:pt>
                <c:pt idx="8" formatCode="0.00">
                  <c:v>8.0808080808080813</c:v>
                </c:pt>
                <c:pt idx="10" formatCode="0.00">
                  <c:v>12.258494337108591</c:v>
                </c:pt>
                <c:pt idx="11" formatCode="0.00">
                  <c:v>14.420391061452509</c:v>
                </c:pt>
                <c:pt idx="12" formatCode="0.00">
                  <c:v>13.8755980861244</c:v>
                </c:pt>
                <c:pt idx="13" formatCode="0.00">
                  <c:v>15.706806282722511</c:v>
                </c:pt>
                <c:pt idx="15" formatCode="0.00">
                  <c:v>18.404907975460119</c:v>
                </c:pt>
                <c:pt idx="16" formatCode="0.00">
                  <c:v>17.33021077283372</c:v>
                </c:pt>
                <c:pt idx="17" formatCode="0.00">
                  <c:v>14.467253176930599</c:v>
                </c:pt>
                <c:pt idx="18" formatCode="0.00">
                  <c:v>14.34599156118143</c:v>
                </c:pt>
                <c:pt idx="19" formatCode="0.00">
                  <c:v>6.9583931133428978</c:v>
                </c:pt>
                <c:pt idx="20" formatCode="0.00">
                  <c:v>5.9259259259259256</c:v>
                </c:pt>
                <c:pt idx="21" formatCode="0.00">
                  <c:v>19.686800894854581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7C-A140-B901-B8D092E0AACD}"/>
            </c:ext>
          </c:extLst>
        </c:ser>
        <c:ser>
          <c:idx val="2"/>
          <c:order val="2"/>
          <c:tx>
            <c:strRef>
              <c:f>'Figure 1'!$D$2</c:f>
              <c:strCache>
                <c:ptCount val="1"/>
                <c:pt idx="0">
                  <c:v>Good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1'!$A$3:$A$24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1'!$D$3:$D$24</c:f>
              <c:numCache>
                <c:formatCode>General</c:formatCode>
                <c:ptCount val="22"/>
                <c:pt idx="0" formatCode="0.00">
                  <c:v>29.17808219178082</c:v>
                </c:pt>
                <c:pt idx="2" formatCode="0.00">
                  <c:v>31.174089068825911</c:v>
                </c:pt>
                <c:pt idx="3" formatCode="0.00">
                  <c:v>23.817712811693891</c:v>
                </c:pt>
                <c:pt idx="4" formatCode="0.00">
                  <c:v>25.402504472271911</c:v>
                </c:pt>
                <c:pt idx="5" formatCode="0.00">
                  <c:v>34.923757993113632</c:v>
                </c:pt>
                <c:pt idx="6" formatCode="0.00">
                  <c:v>26.639344262295079</c:v>
                </c:pt>
                <c:pt idx="7" formatCode="0.00">
                  <c:v>20.02575660012878</c:v>
                </c:pt>
                <c:pt idx="8" formatCode="0.00">
                  <c:v>25.757575757575761</c:v>
                </c:pt>
                <c:pt idx="10" formatCode="0.00">
                  <c:v>28.381079280479678</c:v>
                </c:pt>
                <c:pt idx="11" formatCode="0.00">
                  <c:v>30.935754189944142</c:v>
                </c:pt>
                <c:pt idx="12" formatCode="0.00">
                  <c:v>27.511961722488039</c:v>
                </c:pt>
                <c:pt idx="13" formatCode="0.00">
                  <c:v>22.513089005235599</c:v>
                </c:pt>
                <c:pt idx="15" formatCode="0.00">
                  <c:v>35.719154737559641</c:v>
                </c:pt>
                <c:pt idx="16" formatCode="0.00">
                  <c:v>32.96252927400468</c:v>
                </c:pt>
                <c:pt idx="17" formatCode="0.00">
                  <c:v>30.400782013685241</c:v>
                </c:pt>
                <c:pt idx="18" formatCode="0.00">
                  <c:v>30.80168776371308</c:v>
                </c:pt>
                <c:pt idx="19" formatCode="0.00">
                  <c:v>22.812051649928261</c:v>
                </c:pt>
                <c:pt idx="20" formatCode="0.00">
                  <c:v>17.37373737373737</c:v>
                </c:pt>
                <c:pt idx="21" formatCode="0.00">
                  <c:v>46.979865771812079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7C-A140-B901-B8D092E0AACD}"/>
            </c:ext>
          </c:extLst>
        </c:ser>
        <c:ser>
          <c:idx val="3"/>
          <c:order val="3"/>
          <c:tx>
            <c:strRef>
              <c:f>'Figure 1'!$E$2</c:f>
              <c:strCache>
                <c:ptCount val="1"/>
                <c:pt idx="0">
                  <c:v>Very Good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1'!$A$3:$A$24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1'!$E$3:$E$24</c:f>
              <c:numCache>
                <c:formatCode>General</c:formatCode>
                <c:ptCount val="22"/>
                <c:pt idx="0" formatCode="0.00">
                  <c:v>30.560398505603981</c:v>
                </c:pt>
                <c:pt idx="2" formatCode="0.00">
                  <c:v>27.935222672064778</c:v>
                </c:pt>
                <c:pt idx="3" formatCode="0.00">
                  <c:v>31.90025795356836</c:v>
                </c:pt>
                <c:pt idx="4" formatCode="0.00">
                  <c:v>33.810375670840777</c:v>
                </c:pt>
                <c:pt idx="5" formatCode="0.00">
                  <c:v>27.9636005902607</c:v>
                </c:pt>
                <c:pt idx="6" formatCode="0.00">
                  <c:v>37.295081967213108</c:v>
                </c:pt>
                <c:pt idx="7" formatCode="0.00">
                  <c:v>33.612363168061812</c:v>
                </c:pt>
                <c:pt idx="8" formatCode="0.00">
                  <c:v>37.878787878787882</c:v>
                </c:pt>
                <c:pt idx="10" formatCode="0.00">
                  <c:v>31.734399289362649</c:v>
                </c:pt>
                <c:pt idx="11" formatCode="0.00">
                  <c:v>28.875698324022348</c:v>
                </c:pt>
                <c:pt idx="12" formatCode="0.00">
                  <c:v>30.62200956937799</c:v>
                </c:pt>
                <c:pt idx="13" formatCode="0.00">
                  <c:v>28.272251308900529</c:v>
                </c:pt>
                <c:pt idx="15" formatCode="0.00">
                  <c:v>29.24335378323109</c:v>
                </c:pt>
                <c:pt idx="16" formatCode="0.00">
                  <c:v>29.566744730679162</c:v>
                </c:pt>
                <c:pt idx="17" formatCode="0.00">
                  <c:v>30.498533724340181</c:v>
                </c:pt>
                <c:pt idx="18" formatCode="0.00">
                  <c:v>33.122362869198312</c:v>
                </c:pt>
                <c:pt idx="19" formatCode="0.00">
                  <c:v>33.787661406025833</c:v>
                </c:pt>
                <c:pt idx="20" formatCode="0.00">
                  <c:v>31.71717171717172</c:v>
                </c:pt>
                <c:pt idx="21" formatCode="0.00">
                  <c:v>21.476510067114091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7C-A140-B901-B8D092E0AACD}"/>
            </c:ext>
          </c:extLst>
        </c:ser>
        <c:ser>
          <c:idx val="4"/>
          <c:order val="4"/>
          <c:tx>
            <c:strRef>
              <c:f>'Figure 1'!$F$2</c:f>
              <c:strCache>
                <c:ptCount val="1"/>
                <c:pt idx="0">
                  <c:v>Excellent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1'!$A$3:$A$24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1'!$F$3:$F$24</c:f>
              <c:numCache>
                <c:formatCode>General</c:formatCode>
                <c:ptCount val="22"/>
                <c:pt idx="0" formatCode="0.00">
                  <c:v>24.75716064757161</c:v>
                </c:pt>
                <c:pt idx="2" formatCode="0.00">
                  <c:v>24.291497975708499</c:v>
                </c:pt>
                <c:pt idx="3" formatCode="0.00">
                  <c:v>33.361994840928631</c:v>
                </c:pt>
                <c:pt idx="4" formatCode="0.00">
                  <c:v>22.003577817531301</c:v>
                </c:pt>
                <c:pt idx="5" formatCode="0.00">
                  <c:v>17.338908017707819</c:v>
                </c:pt>
                <c:pt idx="6" formatCode="0.00">
                  <c:v>27.459016393442621</c:v>
                </c:pt>
                <c:pt idx="7" formatCode="0.00">
                  <c:v>38.184159690920801</c:v>
                </c:pt>
                <c:pt idx="8" formatCode="0.00">
                  <c:v>26.26262626262627</c:v>
                </c:pt>
                <c:pt idx="10" formatCode="0.00">
                  <c:v>25.62735953808572</c:v>
                </c:pt>
                <c:pt idx="11" formatCode="0.00">
                  <c:v>23.114525139664799</c:v>
                </c:pt>
                <c:pt idx="12" formatCode="0.00">
                  <c:v>24.880382775119621</c:v>
                </c:pt>
                <c:pt idx="13" formatCode="0.00">
                  <c:v>28.795811518324609</c:v>
                </c:pt>
                <c:pt idx="15" formatCode="0.00">
                  <c:v>13.292433537832309</c:v>
                </c:pt>
                <c:pt idx="16" formatCode="0.00">
                  <c:v>17.21311475409836</c:v>
                </c:pt>
                <c:pt idx="17" formatCode="0.00">
                  <c:v>21.700879765395889</c:v>
                </c:pt>
                <c:pt idx="18" formatCode="0.00">
                  <c:v>20.67510548523207</c:v>
                </c:pt>
                <c:pt idx="19" formatCode="0.00">
                  <c:v>34.791965566714488</c:v>
                </c:pt>
                <c:pt idx="20" formatCode="0.00">
                  <c:v>43.973063973063972</c:v>
                </c:pt>
                <c:pt idx="21" formatCode="0.00">
                  <c:v>8.5011185682326627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7C-A140-B901-B8D092E0A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Percent</a:t>
                </a:r>
                <a:r>
                  <a:rPr lang="en-US" baseline="0">
                    <a:solidFill>
                      <a:schemeClr val="tx1"/>
                    </a:solidFill>
                  </a:rPr>
                  <a:t> of survey respondents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53610792901313231"/>
              <c:y val="0.911794794053914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2820010999476854"/>
          <c:y val="0.9509981844131381"/>
          <c:w val="0.3514361024292747"/>
          <c:h val="3.821118056732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solidFill>
                  <a:schemeClr val="tx1"/>
                </a:solidFill>
              </a:rPr>
              <a:t>How do you rate HS social experience?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425156608405209"/>
          <c:y val="6.3367011173433435E-2"/>
          <c:w val="0.64535661108800924"/>
          <c:h val="0.7976319698631999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'Figure 2'!$B$2</c:f>
              <c:strCache>
                <c:ptCount val="1"/>
                <c:pt idx="0">
                  <c:v>Poor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'Figure 2'!$A$3:$A$24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2'!$B$3:$B$24</c:f>
              <c:numCache>
                <c:formatCode>General</c:formatCode>
                <c:ptCount val="22"/>
                <c:pt idx="0" formatCode="0.00">
                  <c:v>8.2523061580653199</c:v>
                </c:pt>
                <c:pt idx="2" formatCode="0.00">
                  <c:v>9.3117408906882595</c:v>
                </c:pt>
                <c:pt idx="3" formatCode="0.00">
                  <c:v>7.4870912220309807</c:v>
                </c:pt>
                <c:pt idx="4" formatCode="0.00">
                  <c:v>8.9605734767025087</c:v>
                </c:pt>
                <c:pt idx="5" formatCode="0.00">
                  <c:v>8.3230731346958873</c:v>
                </c:pt>
                <c:pt idx="6" formatCode="0.00">
                  <c:v>6.1475409836065573</c:v>
                </c:pt>
                <c:pt idx="7" formatCode="0.00">
                  <c:v>8.3118556701030926</c:v>
                </c:pt>
                <c:pt idx="8" formatCode="0.00">
                  <c:v>10.1010101010101</c:v>
                </c:pt>
                <c:pt idx="10" formatCode="0.00">
                  <c:v>8.2666666666666657</c:v>
                </c:pt>
                <c:pt idx="11" formatCode="0.00">
                  <c:v>6.7832167832167833</c:v>
                </c:pt>
                <c:pt idx="12" formatCode="0.00">
                  <c:v>15.55023923444976</c:v>
                </c:pt>
                <c:pt idx="13" formatCode="0.00">
                  <c:v>16.315789473684209</c:v>
                </c:pt>
                <c:pt idx="15" formatCode="0.00">
                  <c:v>8.8114754098360653</c:v>
                </c:pt>
                <c:pt idx="16" formatCode="0.00">
                  <c:v>8.6701816051552427</c:v>
                </c:pt>
                <c:pt idx="17" formatCode="0.00">
                  <c:v>9.67741935483871</c:v>
                </c:pt>
                <c:pt idx="18" formatCode="0.00">
                  <c:v>8.0168776371308024</c:v>
                </c:pt>
                <c:pt idx="19" formatCode="0.00">
                  <c:v>7.2505384063173013</c:v>
                </c:pt>
                <c:pt idx="20" formatCode="0.00">
                  <c:v>7.4797843665768191</c:v>
                </c:pt>
                <c:pt idx="21" formatCode="0.00">
                  <c:v>7.8475336322869964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C-DD43-ABDD-8FD9F32C7CC8}"/>
            </c:ext>
          </c:extLst>
        </c:ser>
        <c:ser>
          <c:idx val="1"/>
          <c:order val="1"/>
          <c:tx>
            <c:strRef>
              <c:f>'Figure 2'!$C$2</c:f>
              <c:strCache>
                <c:ptCount val="1"/>
                <c:pt idx="0">
                  <c:v>Fair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'Figure 2'!$A$3:$A$24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2'!$C$3:$C$24</c:f>
              <c:numCache>
                <c:formatCode>General</c:formatCode>
                <c:ptCount val="22"/>
                <c:pt idx="0" formatCode="0.00">
                  <c:v>21.37870855148342</c:v>
                </c:pt>
                <c:pt idx="2" formatCode="0.00">
                  <c:v>17.40890688259109</c:v>
                </c:pt>
                <c:pt idx="3" formatCode="0.00">
                  <c:v>22.289156626506021</c:v>
                </c:pt>
                <c:pt idx="4" formatCode="0.00">
                  <c:v>19.713261648745519</c:v>
                </c:pt>
                <c:pt idx="5" formatCode="0.00">
                  <c:v>22.629894114750059</c:v>
                </c:pt>
                <c:pt idx="6" formatCode="0.00">
                  <c:v>18.852459016393439</c:v>
                </c:pt>
                <c:pt idx="7" formatCode="0.00">
                  <c:v>19.71649484536082</c:v>
                </c:pt>
                <c:pt idx="8" formatCode="0.00">
                  <c:v>16.161616161616159</c:v>
                </c:pt>
                <c:pt idx="10" formatCode="0.00">
                  <c:v>22.266666666666669</c:v>
                </c:pt>
                <c:pt idx="11" formatCode="0.00">
                  <c:v>18.74125874125874</c:v>
                </c:pt>
                <c:pt idx="12" formatCode="0.00">
                  <c:v>28.4688995215311</c:v>
                </c:pt>
                <c:pt idx="13" formatCode="0.00">
                  <c:v>27.368421052631579</c:v>
                </c:pt>
                <c:pt idx="15" formatCode="0.00">
                  <c:v>23.838797814207648</c:v>
                </c:pt>
                <c:pt idx="16" formatCode="0.00">
                  <c:v>22.437024018746339</c:v>
                </c:pt>
                <c:pt idx="17" formatCode="0.00">
                  <c:v>22.67839687194526</c:v>
                </c:pt>
                <c:pt idx="18" formatCode="0.00">
                  <c:v>19.62025316455696</c:v>
                </c:pt>
                <c:pt idx="19" formatCode="0.00">
                  <c:v>18.52117731514716</c:v>
                </c:pt>
                <c:pt idx="20" formatCode="0.00">
                  <c:v>19.609164420485179</c:v>
                </c:pt>
                <c:pt idx="21" formatCode="0.00">
                  <c:v>24.215246636771301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8C-DD43-ABDD-8FD9F32C7CC8}"/>
            </c:ext>
          </c:extLst>
        </c:ser>
        <c:ser>
          <c:idx val="2"/>
          <c:order val="2"/>
          <c:tx>
            <c:strRef>
              <c:f>'Figure 2'!$D$2</c:f>
              <c:strCache>
                <c:ptCount val="1"/>
                <c:pt idx="0">
                  <c:v>Good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2'!$A$3:$A$24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2'!$D$3:$D$24</c:f>
              <c:numCache>
                <c:formatCode>General</c:formatCode>
                <c:ptCount val="22"/>
                <c:pt idx="0" formatCode="0.00">
                  <c:v>33.994016454749428</c:v>
                </c:pt>
                <c:pt idx="2" formatCode="0.00">
                  <c:v>34.008097165991899</c:v>
                </c:pt>
                <c:pt idx="3" formatCode="0.00">
                  <c:v>34.681583476764203</c:v>
                </c:pt>
                <c:pt idx="4" formatCode="0.00">
                  <c:v>29.928315412186379</c:v>
                </c:pt>
                <c:pt idx="5" formatCode="0.00">
                  <c:v>34.031026840679637</c:v>
                </c:pt>
                <c:pt idx="6" formatCode="0.00">
                  <c:v>40.57377049180328</c:v>
                </c:pt>
                <c:pt idx="7" formatCode="0.00">
                  <c:v>34.27835051546392</c:v>
                </c:pt>
                <c:pt idx="8" formatCode="0.00">
                  <c:v>30.303030303030301</c:v>
                </c:pt>
                <c:pt idx="10" formatCode="0.00">
                  <c:v>34.333333333333343</c:v>
                </c:pt>
                <c:pt idx="11" formatCode="0.00">
                  <c:v>33.21678321678322</c:v>
                </c:pt>
                <c:pt idx="12" formatCode="0.00">
                  <c:v>35.167464114832534</c:v>
                </c:pt>
                <c:pt idx="13" formatCode="0.00">
                  <c:v>31.05263157894737</c:v>
                </c:pt>
                <c:pt idx="15" formatCode="0.00">
                  <c:v>34.084699453551913</c:v>
                </c:pt>
                <c:pt idx="16" formatCode="0.00">
                  <c:v>32.68892794376098</c:v>
                </c:pt>
                <c:pt idx="17" formatCode="0.00">
                  <c:v>34.995112414467258</c:v>
                </c:pt>
                <c:pt idx="18" formatCode="0.00">
                  <c:v>33.333333333333329</c:v>
                </c:pt>
                <c:pt idx="19" formatCode="0.00">
                  <c:v>32.376166547020823</c:v>
                </c:pt>
                <c:pt idx="20" formatCode="0.00">
                  <c:v>34.097035040431273</c:v>
                </c:pt>
                <c:pt idx="21" formatCode="0.00">
                  <c:v>41.255605381165921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8C-DD43-ABDD-8FD9F32C7CC8}"/>
            </c:ext>
          </c:extLst>
        </c:ser>
        <c:ser>
          <c:idx val="3"/>
          <c:order val="3"/>
          <c:tx>
            <c:strRef>
              <c:f>'Figure 2'!$E$2</c:f>
              <c:strCache>
                <c:ptCount val="1"/>
                <c:pt idx="0">
                  <c:v>Very Good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2'!$A$3:$A$24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2'!$E$3:$E$24</c:f>
              <c:numCache>
                <c:formatCode>General</c:formatCode>
                <c:ptCount val="22"/>
                <c:pt idx="0" formatCode="0.00">
                  <c:v>24.707055597107949</c:v>
                </c:pt>
                <c:pt idx="2" formatCode="0.00">
                  <c:v>27.530364372469631</c:v>
                </c:pt>
                <c:pt idx="3" formatCode="0.00">
                  <c:v>24.870912220309808</c:v>
                </c:pt>
                <c:pt idx="4" formatCode="0.00">
                  <c:v>24.193548387096779</c:v>
                </c:pt>
                <c:pt idx="5" formatCode="0.00">
                  <c:v>24.082738241812361</c:v>
                </c:pt>
                <c:pt idx="6" formatCode="0.00">
                  <c:v>21.31147540983606</c:v>
                </c:pt>
                <c:pt idx="7" formatCode="0.00">
                  <c:v>26.03092783505155</c:v>
                </c:pt>
                <c:pt idx="8" formatCode="0.00">
                  <c:v>28.28282828282828</c:v>
                </c:pt>
                <c:pt idx="10" formatCode="0.00">
                  <c:v>24.62222222222222</c:v>
                </c:pt>
                <c:pt idx="11" formatCode="0.00">
                  <c:v>26.60839160839161</c:v>
                </c:pt>
                <c:pt idx="12" formatCode="0.00">
                  <c:v>15.07177033492823</c:v>
                </c:pt>
                <c:pt idx="13" formatCode="0.00">
                  <c:v>15.789473684210529</c:v>
                </c:pt>
                <c:pt idx="15" formatCode="0.00">
                  <c:v>23.56557377049181</c:v>
                </c:pt>
                <c:pt idx="16" formatCode="0.00">
                  <c:v>24.194493263034559</c:v>
                </c:pt>
                <c:pt idx="17" formatCode="0.00">
                  <c:v>20.918866080156398</c:v>
                </c:pt>
                <c:pt idx="18" formatCode="0.00">
                  <c:v>27.215189873417721</c:v>
                </c:pt>
                <c:pt idx="19" formatCode="0.00">
                  <c:v>28.571428571428569</c:v>
                </c:pt>
                <c:pt idx="20" formatCode="0.00">
                  <c:v>26.415094339622641</c:v>
                </c:pt>
                <c:pt idx="21" formatCode="0.00">
                  <c:v>17.04035874439462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18C-DD43-ABDD-8FD9F32C7CC8}"/>
            </c:ext>
          </c:extLst>
        </c:ser>
        <c:ser>
          <c:idx val="4"/>
          <c:order val="4"/>
          <c:tx>
            <c:strRef>
              <c:f>'Figure 2'!$F$2</c:f>
              <c:strCache>
                <c:ptCount val="1"/>
                <c:pt idx="0">
                  <c:v>Excellent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2'!$A$3:$A$24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2'!$F$3:$F$24</c:f>
              <c:numCache>
                <c:formatCode>General</c:formatCode>
                <c:ptCount val="22"/>
                <c:pt idx="0" formatCode="0.00">
                  <c:v>11.66791323859387</c:v>
                </c:pt>
                <c:pt idx="2" formatCode="0.00">
                  <c:v>11.74089068825911</c:v>
                </c:pt>
                <c:pt idx="3" formatCode="0.00">
                  <c:v>10.671256454388979</c:v>
                </c:pt>
                <c:pt idx="4" formatCode="0.00">
                  <c:v>17.20430107526882</c:v>
                </c:pt>
                <c:pt idx="5" formatCode="0.00">
                  <c:v>10.933267668062051</c:v>
                </c:pt>
                <c:pt idx="6" formatCode="0.00">
                  <c:v>13.11475409836066</c:v>
                </c:pt>
                <c:pt idx="7" formatCode="0.00">
                  <c:v>11.662371134020621</c:v>
                </c:pt>
                <c:pt idx="8" formatCode="0.00">
                  <c:v>15.15151515151515</c:v>
                </c:pt>
                <c:pt idx="10" formatCode="0.00">
                  <c:v>10.511111111111109</c:v>
                </c:pt>
                <c:pt idx="11" formatCode="0.00">
                  <c:v>14.65034965034965</c:v>
                </c:pt>
                <c:pt idx="12" formatCode="0.00">
                  <c:v>5.741626794258373</c:v>
                </c:pt>
                <c:pt idx="13" formatCode="0.00">
                  <c:v>9.4736842105263168</c:v>
                </c:pt>
                <c:pt idx="15" formatCode="0.00">
                  <c:v>9.6994535519125673</c:v>
                </c:pt>
                <c:pt idx="16" formatCode="0.00">
                  <c:v>12.00937316930287</c:v>
                </c:pt>
                <c:pt idx="17" formatCode="0.00">
                  <c:v>11.730205278592379</c:v>
                </c:pt>
                <c:pt idx="18" formatCode="0.00">
                  <c:v>11.814345991561179</c:v>
                </c:pt>
                <c:pt idx="19" formatCode="0.00">
                  <c:v>13.280689160086149</c:v>
                </c:pt>
                <c:pt idx="20" formatCode="0.00">
                  <c:v>12.398921832884101</c:v>
                </c:pt>
                <c:pt idx="21" formatCode="0.00">
                  <c:v>9.6412556053811667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18C-DD43-ABDD-8FD9F32C7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Percent</a:t>
                </a:r>
                <a:r>
                  <a:rPr lang="en-US" baseline="0">
                    <a:solidFill>
                      <a:schemeClr val="tx1"/>
                    </a:solidFill>
                  </a:rPr>
                  <a:t> of survey respondents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53610792901313231"/>
              <c:y val="0.911794794053914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2820010999476854"/>
          <c:y val="0.9509981844131381"/>
          <c:w val="0.3514361024292747"/>
          <c:h val="3.821118056732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times bullied or harassed at school last 12 months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45782239873794334"/>
          <c:y val="6.2705568617550056E-2"/>
          <c:w val="0.51082434994395476"/>
          <c:h val="0.8029051804396194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'Figure 3'!$C$2</c:f>
              <c:strCache>
                <c:ptCount val="1"/>
                <c:pt idx="0">
                  <c:v>1 time</c:v>
                </c:pt>
              </c:strCache>
            </c:strRef>
          </c:tx>
          <c:spPr>
            <a:solidFill>
              <a:schemeClr val="accent2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3'!$A$3:$A$24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3'!$C$3:$C$24</c:f>
              <c:numCache>
                <c:formatCode>General</c:formatCode>
                <c:ptCount val="22"/>
                <c:pt idx="0" formatCode="0.00">
                  <c:v>10.31686626746507</c:v>
                </c:pt>
                <c:pt idx="2" formatCode="0.00">
                  <c:v>14.63414634146341</c:v>
                </c:pt>
                <c:pt idx="3" formatCode="0.00">
                  <c:v>9.6468561584840664</c:v>
                </c:pt>
                <c:pt idx="4" formatCode="0.00">
                  <c:v>8.6175942549371634</c:v>
                </c:pt>
                <c:pt idx="5" formatCode="0.00">
                  <c:v>9.5027080256031518</c:v>
                </c:pt>
                <c:pt idx="6" formatCode="0.00">
                  <c:v>14.403292181069959</c:v>
                </c:pt>
                <c:pt idx="7" formatCode="0.00">
                  <c:v>12.330535829567459</c:v>
                </c:pt>
                <c:pt idx="8" formatCode="0.00">
                  <c:v>9.5959595959595951</c:v>
                </c:pt>
                <c:pt idx="10" formatCode="0.00">
                  <c:v>11.051812319323989</c:v>
                </c:pt>
                <c:pt idx="11" formatCode="0.00">
                  <c:v>8.3566433566433567</c:v>
                </c:pt>
                <c:pt idx="12" formatCode="0.00">
                  <c:v>13.908872901678659</c:v>
                </c:pt>
                <c:pt idx="13" formatCode="0.00">
                  <c:v>13.82978723404255</c:v>
                </c:pt>
                <c:pt idx="15" formatCode="0.00">
                  <c:v>9.2024539877300615</c:v>
                </c:pt>
                <c:pt idx="16" formatCode="0.00">
                  <c:v>10.36906854130053</c:v>
                </c:pt>
                <c:pt idx="17" formatCode="0.00">
                  <c:v>8.8321884200196266</c:v>
                </c:pt>
                <c:pt idx="18" formatCode="0.00">
                  <c:v>11.41649048625793</c:v>
                </c:pt>
                <c:pt idx="19" formatCode="0.00">
                  <c:v>11.574406901509709</c:v>
                </c:pt>
                <c:pt idx="20" formatCode="0.00">
                  <c:v>11.18598382749326</c:v>
                </c:pt>
                <c:pt idx="21" formatCode="0.00">
                  <c:v>8.7443946188340806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7-9744-B8CA-9F33906D743E}"/>
            </c:ext>
          </c:extLst>
        </c:ser>
        <c:ser>
          <c:idx val="1"/>
          <c:order val="1"/>
          <c:tx>
            <c:strRef>
              <c:f>'Figure 3'!$D$2</c:f>
              <c:strCache>
                <c:ptCount val="1"/>
                <c:pt idx="0">
                  <c:v>2-3 times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'Figure 3'!$A$3:$A$24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3'!$D$3:$D$24</c:f>
              <c:numCache>
                <c:formatCode>General</c:formatCode>
                <c:ptCount val="22"/>
                <c:pt idx="0" formatCode="0.00">
                  <c:v>9.0568862275449113</c:v>
                </c:pt>
                <c:pt idx="2" formatCode="0.00">
                  <c:v>8.9430894308943092</c:v>
                </c:pt>
                <c:pt idx="3" formatCode="0.00">
                  <c:v>7.2351421188630489</c:v>
                </c:pt>
                <c:pt idx="4" formatCode="0.00">
                  <c:v>10.053859964093361</c:v>
                </c:pt>
                <c:pt idx="5" formatCode="0.00">
                  <c:v>8.2964057114721808</c:v>
                </c:pt>
                <c:pt idx="6" formatCode="0.00">
                  <c:v>14.403292181069959</c:v>
                </c:pt>
                <c:pt idx="7" formatCode="0.00">
                  <c:v>10.781149128469981</c:v>
                </c:pt>
                <c:pt idx="8" formatCode="0.00">
                  <c:v>12.62626262626263</c:v>
                </c:pt>
                <c:pt idx="10" formatCode="0.00">
                  <c:v>10.140093395597059</c:v>
                </c:pt>
                <c:pt idx="11" formatCode="0.00">
                  <c:v>5</c:v>
                </c:pt>
                <c:pt idx="12" formatCode="0.00">
                  <c:v>23.741007194244599</c:v>
                </c:pt>
                <c:pt idx="13" formatCode="0.00">
                  <c:v>11.702127659574471</c:v>
                </c:pt>
                <c:pt idx="15" formatCode="0.00">
                  <c:v>7.6346284935241986</c:v>
                </c:pt>
                <c:pt idx="16" formatCode="0.00">
                  <c:v>9.0216754540128878</c:v>
                </c:pt>
                <c:pt idx="17" formatCode="0.00">
                  <c:v>11.579980372914619</c:v>
                </c:pt>
                <c:pt idx="18" formatCode="0.00">
                  <c:v>9.3023255813953494</c:v>
                </c:pt>
                <c:pt idx="19" formatCode="0.00">
                  <c:v>8.6268871315600286</c:v>
                </c:pt>
                <c:pt idx="20" formatCode="0.00">
                  <c:v>9.770889487870619</c:v>
                </c:pt>
                <c:pt idx="21" formatCode="0.00">
                  <c:v>6.7264573991031389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7-9744-B8CA-9F33906D743E}"/>
            </c:ext>
          </c:extLst>
        </c:ser>
        <c:ser>
          <c:idx val="2"/>
          <c:order val="2"/>
          <c:tx>
            <c:strRef>
              <c:f>'Figure 3'!$E$2</c:f>
              <c:strCache>
                <c:ptCount val="1"/>
                <c:pt idx="0">
                  <c:v>4 or more times</c:v>
                </c:pt>
              </c:strCache>
            </c:strRef>
          </c:tx>
          <c:spPr>
            <a:solidFill>
              <a:schemeClr val="accent2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3'!$A$3:$A$24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 woman</c:v>
                </c:pt>
                <c:pt idx="11">
                  <c:v>Cis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3'!$E$3:$E$24</c:f>
              <c:numCache>
                <c:formatCode>General</c:formatCode>
                <c:ptCount val="22"/>
                <c:pt idx="0" formatCode="0.00">
                  <c:v>3.8672654690618771</c:v>
                </c:pt>
                <c:pt idx="2" formatCode="0.00">
                  <c:v>9.3495934959349594</c:v>
                </c:pt>
                <c:pt idx="3" formatCode="0.00">
                  <c:v>2.3255813953488369</c:v>
                </c:pt>
                <c:pt idx="4" formatCode="0.00">
                  <c:v>5.9245960502693</c:v>
                </c:pt>
                <c:pt idx="5" formatCode="0.00">
                  <c:v>3.2250123092072869</c:v>
                </c:pt>
                <c:pt idx="6" formatCode="0.00">
                  <c:v>4.5267489711934159</c:v>
                </c:pt>
                <c:pt idx="7" formatCode="0.00">
                  <c:v>5.1000645577792127</c:v>
                </c:pt>
                <c:pt idx="8" formatCode="0.00">
                  <c:v>3.0303030303030298</c:v>
                </c:pt>
                <c:pt idx="10" formatCode="0.00">
                  <c:v>3.4467422726261949</c:v>
                </c:pt>
                <c:pt idx="11" formatCode="0.00">
                  <c:v>3.1118881118881121</c:v>
                </c:pt>
                <c:pt idx="12" formatCode="0.00">
                  <c:v>10.5515587529976</c:v>
                </c:pt>
                <c:pt idx="13" formatCode="0.00">
                  <c:v>11.17021276595745</c:v>
                </c:pt>
                <c:pt idx="15" formatCode="0.00">
                  <c:v>2.5903203817314249</c:v>
                </c:pt>
                <c:pt idx="16" formatCode="0.00">
                  <c:v>3.222026947861746</c:v>
                </c:pt>
                <c:pt idx="17" formatCode="0.00">
                  <c:v>4.8086359175662414</c:v>
                </c:pt>
                <c:pt idx="18" formatCode="0.00">
                  <c:v>4.6511627906976747</c:v>
                </c:pt>
                <c:pt idx="19" formatCode="0.00">
                  <c:v>4.2415528396836804</c:v>
                </c:pt>
                <c:pt idx="20" formatCode="0.00">
                  <c:v>4.6495956873315363</c:v>
                </c:pt>
                <c:pt idx="21" formatCode="0.00">
                  <c:v>4.2600896860986541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27-9744-B8CA-9F33906D7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83901696"/>
        <c:axId val="2083917824"/>
      </c:barChart>
      <c:catAx>
        <c:axId val="2083901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17824"/>
        <c:crosses val="autoZero"/>
        <c:auto val="1"/>
        <c:lblAlgn val="ctr"/>
        <c:lblOffset val="100"/>
        <c:noMultiLvlLbl val="0"/>
      </c:catAx>
      <c:valAx>
        <c:axId val="208391782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survey respondents within the subroup</a:t>
                </a:r>
              </a:p>
            </c:rich>
          </c:tx>
          <c:layout>
            <c:manualLayout>
              <c:xMode val="edge"/>
              <c:yMode val="edge"/>
              <c:x val="0.50255345059020518"/>
              <c:y val="0.916002082905969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01696"/>
        <c:crosses val="max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300"/>
              <a:t>How much do you agree with the statement: "Teachers and staff at my high school care about my future"</a:t>
            </a:r>
          </a:p>
        </c:rich>
      </c:tx>
      <c:layout>
        <c:manualLayout>
          <c:xMode val="edge"/>
          <c:yMode val="edge"/>
          <c:x val="0.15404440100840711"/>
          <c:y val="1.81200453001132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425156608405209"/>
          <c:y val="6.3367011173433435E-2"/>
          <c:w val="0.64535661108800924"/>
          <c:h val="0.7976319698631999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'Figure 5'!$B$2</c:f>
              <c:strCache>
                <c:ptCount val="1"/>
                <c:pt idx="0">
                  <c:v>Strongly disagree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'Figure 5'!$A$3:$A$24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5'!$B$3:$B$24</c:f>
              <c:numCache>
                <c:formatCode>General</c:formatCode>
                <c:ptCount val="22"/>
                <c:pt idx="0" formatCode="0.00">
                  <c:v>2.5961058412381428</c:v>
                </c:pt>
                <c:pt idx="2" formatCode="0.00">
                  <c:v>4.048582995951417</c:v>
                </c:pt>
                <c:pt idx="3" formatCode="0.00">
                  <c:v>2.1551724137931041</c:v>
                </c:pt>
                <c:pt idx="4" formatCode="0.00">
                  <c:v>3.2374100719424459</c:v>
                </c:pt>
                <c:pt idx="5" formatCode="0.00">
                  <c:v>2.7366863905325451</c:v>
                </c:pt>
                <c:pt idx="6" formatCode="0.00">
                  <c:v>1.639344262295082</c:v>
                </c:pt>
                <c:pt idx="7" formatCode="0.00">
                  <c:v>2.0631850419084459</c:v>
                </c:pt>
                <c:pt idx="8" formatCode="0.00">
                  <c:v>4.0404040404040407</c:v>
                </c:pt>
                <c:pt idx="10" formatCode="0.00">
                  <c:v>2.4922118380062299</c:v>
                </c:pt>
                <c:pt idx="11" formatCode="0.00">
                  <c:v>2.697022767075306</c:v>
                </c:pt>
                <c:pt idx="12" formatCode="0.00">
                  <c:v>1.913875598086124</c:v>
                </c:pt>
                <c:pt idx="13" formatCode="0.00">
                  <c:v>2.645502645502646</c:v>
                </c:pt>
                <c:pt idx="15" formatCode="0.00">
                  <c:v>2.5974025974025969</c:v>
                </c:pt>
                <c:pt idx="16" formatCode="0.00">
                  <c:v>2.9377203290246769</c:v>
                </c:pt>
                <c:pt idx="17" formatCode="0.00">
                  <c:v>1.862745098039216</c:v>
                </c:pt>
                <c:pt idx="18" formatCode="0.00">
                  <c:v>3.79746835443038</c:v>
                </c:pt>
                <c:pt idx="19" formatCode="0.00">
                  <c:v>2.368987796123474</c:v>
                </c:pt>
                <c:pt idx="20" formatCode="0.00">
                  <c:v>2.2926500337154421</c:v>
                </c:pt>
                <c:pt idx="21" formatCode="0.00">
                  <c:v>2.921348314606742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D4-5145-8F9A-B0FDDE0494E3}"/>
            </c:ext>
          </c:extLst>
        </c:ser>
        <c:ser>
          <c:idx val="1"/>
          <c:order val="1"/>
          <c:tx>
            <c:strRef>
              <c:f>'Figure 5'!$C$2</c:f>
              <c:strCache>
                <c:ptCount val="1"/>
                <c:pt idx="0">
                  <c:v>Somewhat disagree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5'!$A$3:$A$24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5'!$C$3:$C$24</c:f>
              <c:numCache>
                <c:formatCode>General</c:formatCode>
                <c:ptCount val="22"/>
                <c:pt idx="0" formatCode="0.00">
                  <c:v>4.8552171742386419</c:v>
                </c:pt>
                <c:pt idx="2" formatCode="0.00">
                  <c:v>4.4534412955465594</c:v>
                </c:pt>
                <c:pt idx="3" formatCode="0.00">
                  <c:v>4.9137931034482758</c:v>
                </c:pt>
                <c:pt idx="4" formatCode="0.00">
                  <c:v>5.0359712230215834</c:v>
                </c:pt>
                <c:pt idx="5" formatCode="0.00">
                  <c:v>4.8323471400394471</c:v>
                </c:pt>
                <c:pt idx="6" formatCode="0.00">
                  <c:v>2.0491803278688518</c:v>
                </c:pt>
                <c:pt idx="7" formatCode="0.00">
                  <c:v>5.2224371373307541</c:v>
                </c:pt>
                <c:pt idx="8" formatCode="0.00">
                  <c:v>5.5555555555555554</c:v>
                </c:pt>
                <c:pt idx="10" formatCode="0.00">
                  <c:v>4.9399198931909218</c:v>
                </c:pt>
                <c:pt idx="11" formatCode="0.00">
                  <c:v>4.5534150612959721</c:v>
                </c:pt>
                <c:pt idx="12" formatCode="0.00">
                  <c:v>6.2200956937799043</c:v>
                </c:pt>
                <c:pt idx="13" formatCode="0.00">
                  <c:v>5.2910052910052912</c:v>
                </c:pt>
                <c:pt idx="15" formatCode="0.00">
                  <c:v>4.3062200956937797</c:v>
                </c:pt>
                <c:pt idx="16" formatCode="0.00">
                  <c:v>5.8754406580493539</c:v>
                </c:pt>
                <c:pt idx="17" formatCode="0.00">
                  <c:v>6.3725490196078427</c:v>
                </c:pt>
                <c:pt idx="18" formatCode="0.00">
                  <c:v>5.485232067510549</c:v>
                </c:pt>
                <c:pt idx="19" formatCode="0.00">
                  <c:v>3.7329504666188078</c:v>
                </c:pt>
                <c:pt idx="20" formatCode="0.00">
                  <c:v>4.2481456507080244</c:v>
                </c:pt>
                <c:pt idx="21" formatCode="0.00">
                  <c:v>4.4943820224719104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D4-5145-8F9A-B0FDDE0494E3}"/>
            </c:ext>
          </c:extLst>
        </c:ser>
        <c:ser>
          <c:idx val="2"/>
          <c:order val="2"/>
          <c:tx>
            <c:strRef>
              <c:f>'Figure 5'!$D$2</c:f>
              <c:strCache>
                <c:ptCount val="1"/>
                <c:pt idx="0">
                  <c:v>Neither agree nor disagree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5'!$A$3:$A$24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5'!$D$3:$D$24</c:f>
              <c:numCache>
                <c:formatCode>General</c:formatCode>
                <c:ptCount val="22"/>
                <c:pt idx="0" formatCode="0.00">
                  <c:v>12.86819770344483</c:v>
                </c:pt>
                <c:pt idx="2" formatCode="0.00">
                  <c:v>10.52631578947368</c:v>
                </c:pt>
                <c:pt idx="3" formatCode="0.00">
                  <c:v>13.18965517241379</c:v>
                </c:pt>
                <c:pt idx="4" formatCode="0.00">
                  <c:v>13.848920863309351</c:v>
                </c:pt>
                <c:pt idx="5" formatCode="0.00">
                  <c:v>13.609467455621299</c:v>
                </c:pt>
                <c:pt idx="6" formatCode="0.00">
                  <c:v>12.704918032786891</c:v>
                </c:pt>
                <c:pt idx="7" formatCode="0.00">
                  <c:v>10.315925209542231</c:v>
                </c:pt>
                <c:pt idx="8" formatCode="0.00">
                  <c:v>16.161616161616159</c:v>
                </c:pt>
                <c:pt idx="10" formatCode="0.00">
                  <c:v>13.59590565198042</c:v>
                </c:pt>
                <c:pt idx="11" formatCode="0.00">
                  <c:v>11.2784588441331</c:v>
                </c:pt>
                <c:pt idx="12" formatCode="0.00">
                  <c:v>14.832535885167459</c:v>
                </c:pt>
                <c:pt idx="13" formatCode="0.00">
                  <c:v>16.93121693121693</c:v>
                </c:pt>
                <c:pt idx="15" formatCode="0.00">
                  <c:v>14.285714285714279</c:v>
                </c:pt>
                <c:pt idx="16" formatCode="0.00">
                  <c:v>13.51351351351351</c:v>
                </c:pt>
                <c:pt idx="17" formatCode="0.00">
                  <c:v>12.84313725490196</c:v>
                </c:pt>
                <c:pt idx="18" formatCode="0.00">
                  <c:v>11.39240506329114</c:v>
                </c:pt>
                <c:pt idx="19" formatCode="0.00">
                  <c:v>12.562814070351759</c:v>
                </c:pt>
                <c:pt idx="20" formatCode="0.00">
                  <c:v>10.92380310182063</c:v>
                </c:pt>
                <c:pt idx="21" formatCode="0.00">
                  <c:v>15.95505617977528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D4-5145-8F9A-B0FDDE0494E3}"/>
            </c:ext>
          </c:extLst>
        </c:ser>
        <c:ser>
          <c:idx val="3"/>
          <c:order val="3"/>
          <c:tx>
            <c:strRef>
              <c:f>'Figure 5'!$E$2</c:f>
              <c:strCache>
                <c:ptCount val="1"/>
                <c:pt idx="0">
                  <c:v>Somewhat agree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5'!$A$3:$A$24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5'!$E$3:$E$24</c:f>
              <c:numCache>
                <c:formatCode>General</c:formatCode>
                <c:ptCount val="22"/>
                <c:pt idx="0" formatCode="0.00">
                  <c:v>39.603095356964552</c:v>
                </c:pt>
                <c:pt idx="2" formatCode="0.00">
                  <c:v>40.08097165991903</c:v>
                </c:pt>
                <c:pt idx="3" formatCode="0.00">
                  <c:v>42.758620689655167</c:v>
                </c:pt>
                <c:pt idx="4" formatCode="0.00">
                  <c:v>38.669064748201443</c:v>
                </c:pt>
                <c:pt idx="5" formatCode="0.00">
                  <c:v>38.387573964497037</c:v>
                </c:pt>
                <c:pt idx="6" formatCode="0.00">
                  <c:v>42.622950819672127</c:v>
                </c:pt>
                <c:pt idx="7" formatCode="0.00">
                  <c:v>40.812379110251449</c:v>
                </c:pt>
                <c:pt idx="8" formatCode="0.00">
                  <c:v>34.848484848484851</c:v>
                </c:pt>
                <c:pt idx="10" formatCode="0.00">
                  <c:v>39.563862928348911</c:v>
                </c:pt>
                <c:pt idx="11" formatCode="0.00">
                  <c:v>39.05429071803853</c:v>
                </c:pt>
                <c:pt idx="12" formatCode="0.00">
                  <c:v>43.779904306220097</c:v>
                </c:pt>
                <c:pt idx="13" formatCode="0.00">
                  <c:v>38.62433862433862</c:v>
                </c:pt>
                <c:pt idx="15" formatCode="0.00">
                  <c:v>38.619275461380717</c:v>
                </c:pt>
                <c:pt idx="16" formatCode="0.00">
                  <c:v>39.189189189189193</c:v>
                </c:pt>
                <c:pt idx="17" formatCode="0.00">
                  <c:v>39.411764705882362</c:v>
                </c:pt>
                <c:pt idx="18" formatCode="0.00">
                  <c:v>38.607594936708857</c:v>
                </c:pt>
                <c:pt idx="19" formatCode="0.00">
                  <c:v>39.842067480258443</c:v>
                </c:pt>
                <c:pt idx="20" formatCode="0.00">
                  <c:v>41.604855023600813</c:v>
                </c:pt>
                <c:pt idx="21" formatCode="0.00">
                  <c:v>36.853932584269657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D4-5145-8F9A-B0FDDE0494E3}"/>
            </c:ext>
          </c:extLst>
        </c:ser>
        <c:ser>
          <c:idx val="4"/>
          <c:order val="4"/>
          <c:tx>
            <c:strRef>
              <c:f>'Figure 5'!$F$2</c:f>
              <c:strCache>
                <c:ptCount val="1"/>
                <c:pt idx="0">
                  <c:v>Strongly agree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'Figure 5'!$A$3:$A$24</c:f>
              <c:strCache>
                <c:ptCount val="22"/>
                <c:pt idx="0">
                  <c:v>All  respondents </c:v>
                </c:pt>
                <c:pt idx="2">
                  <c:v>American Indian/Alaskan Native/Pacific Islander</c:v>
                </c:pt>
                <c:pt idx="3">
                  <c:v>Asian</c:v>
                </c:pt>
                <c:pt idx="4">
                  <c:v>Black/African American</c:v>
                </c:pt>
                <c:pt idx="5">
                  <c:v>Hispanic/Latinx</c:v>
                </c:pt>
                <c:pt idx="6">
                  <c:v>Filipino</c:v>
                </c:pt>
                <c:pt idx="7">
                  <c:v>White/Non-Hispanic</c:v>
                </c:pt>
                <c:pt idx="8">
                  <c:v>Other</c:v>
                </c:pt>
                <c:pt idx="10">
                  <c:v>Cisgender woman</c:v>
                </c:pt>
                <c:pt idx="11">
                  <c:v>Cisgender man</c:v>
                </c:pt>
                <c:pt idx="12">
                  <c:v>Non-binary/Gender variant</c:v>
                </c:pt>
                <c:pt idx="13">
                  <c:v>Unsure/prefer not to say</c:v>
                </c:pt>
                <c:pt idx="15">
                  <c:v>Did not complete high school</c:v>
                </c:pt>
                <c:pt idx="16">
                  <c:v>High school diploma</c:v>
                </c:pt>
                <c:pt idx="17">
                  <c:v>Some college, no college degree</c:v>
                </c:pt>
                <c:pt idx="18">
                  <c:v>Associate degree</c:v>
                </c:pt>
                <c:pt idx="19">
                  <c:v>Bachelor's degree</c:v>
                </c:pt>
                <c:pt idx="20">
                  <c:v>Graduate/professional degree </c:v>
                </c:pt>
                <c:pt idx="21">
                  <c:v>Don't know</c:v>
                </c:pt>
              </c:strCache>
            </c:strRef>
          </c:cat>
          <c:val>
            <c:numRef>
              <c:f>'Figure 5'!$F$3:$F$24</c:f>
              <c:numCache>
                <c:formatCode>General</c:formatCode>
                <c:ptCount val="22"/>
                <c:pt idx="0" formatCode="0.00">
                  <c:v>40.077383924113832</c:v>
                </c:pt>
                <c:pt idx="2" formatCode="0.00">
                  <c:v>40.890688259109311</c:v>
                </c:pt>
                <c:pt idx="3" formatCode="0.00">
                  <c:v>36.982758620689651</c:v>
                </c:pt>
                <c:pt idx="4" formatCode="0.00">
                  <c:v>39.208633093525179</c:v>
                </c:pt>
                <c:pt idx="5" formatCode="0.00">
                  <c:v>40.433925049309657</c:v>
                </c:pt>
                <c:pt idx="6" formatCode="0.00">
                  <c:v>40.983606557377051</c:v>
                </c:pt>
                <c:pt idx="7" formatCode="0.00">
                  <c:v>41.586073500967117</c:v>
                </c:pt>
                <c:pt idx="8" formatCode="0.00">
                  <c:v>39.393939393939391</c:v>
                </c:pt>
                <c:pt idx="10" formatCode="0.00">
                  <c:v>39.40809968847352</c:v>
                </c:pt>
                <c:pt idx="11" formatCode="0.00">
                  <c:v>42.416812609457097</c:v>
                </c:pt>
                <c:pt idx="12" formatCode="0.00">
                  <c:v>33.253588516746412</c:v>
                </c:pt>
                <c:pt idx="13" formatCode="0.00">
                  <c:v>36.507936507936513</c:v>
                </c:pt>
                <c:pt idx="15" formatCode="0.00">
                  <c:v>40.191387559808611</c:v>
                </c:pt>
                <c:pt idx="16" formatCode="0.00">
                  <c:v>38.484136310223263</c:v>
                </c:pt>
                <c:pt idx="17" formatCode="0.00">
                  <c:v>39.509803921568633</c:v>
                </c:pt>
                <c:pt idx="18" formatCode="0.00">
                  <c:v>40.717299578059077</c:v>
                </c:pt>
                <c:pt idx="19" formatCode="0.00">
                  <c:v>41.493180186647521</c:v>
                </c:pt>
                <c:pt idx="20" formatCode="0.00">
                  <c:v>40.930546190155091</c:v>
                </c:pt>
                <c:pt idx="21" formatCode="0.00">
                  <c:v>39.775280898876403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D4-5145-8F9A-B0FDDE049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of survey respondents</a:t>
                </a:r>
              </a:p>
            </c:rich>
          </c:tx>
          <c:layout>
            <c:manualLayout>
              <c:xMode val="edge"/>
              <c:yMode val="edge"/>
              <c:x val="0.53610792901313231"/>
              <c:y val="0.911794794053914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599980009550994"/>
          <c:y val="0.96005814109023457"/>
          <c:w val="0.69840365158868545"/>
          <c:h val="3.821118056732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How do you rate your HS social experience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'HS Social'!$B$2</c:f>
              <c:strCache>
                <c:ptCount val="1"/>
                <c:pt idx="0">
                  <c:v>Poor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'HS Social'!$A$3:$A$16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Social'!$B$3:$B$16</c:f>
              <c:numCache>
                <c:formatCode>0.00</c:formatCode>
                <c:ptCount val="14"/>
                <c:pt idx="0">
                  <c:v>7.95</c:v>
                </c:pt>
                <c:pt idx="2">
                  <c:v>6.2102506546950993</c:v>
                </c:pt>
                <c:pt idx="3">
                  <c:v>8.0261315912272515</c:v>
                </c:pt>
                <c:pt idx="4">
                  <c:v>14.63414634146341</c:v>
                </c:pt>
                <c:pt idx="5">
                  <c:v>16.716417910447799</c:v>
                </c:pt>
                <c:pt idx="6">
                  <c:v>15</c:v>
                </c:pt>
                <c:pt idx="8">
                  <c:v>6.5368299267258001</c:v>
                </c:pt>
                <c:pt idx="9">
                  <c:v>8.7878787878787872</c:v>
                </c:pt>
                <c:pt idx="10">
                  <c:v>10.72056239015817</c:v>
                </c:pt>
                <c:pt idx="11">
                  <c:v>10.989010989010991</c:v>
                </c:pt>
                <c:pt idx="12">
                  <c:v>12.21374045801527</c:v>
                </c:pt>
                <c:pt idx="13">
                  <c:v>12.99212598425197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E6-8C4E-ACBB-C5296DC9EFCF}"/>
            </c:ext>
          </c:extLst>
        </c:ser>
        <c:ser>
          <c:idx val="1"/>
          <c:order val="1"/>
          <c:tx>
            <c:strRef>
              <c:f>'HS Social'!$C$2</c:f>
              <c:strCache>
                <c:ptCount val="1"/>
                <c:pt idx="0">
                  <c:v>Fair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'HS Social'!$A$3:$A$16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Social'!$C$3:$C$16</c:f>
              <c:numCache>
                <c:formatCode>0.00</c:formatCode>
                <c:ptCount val="14"/>
                <c:pt idx="0">
                  <c:v>21.21</c:v>
                </c:pt>
                <c:pt idx="2">
                  <c:v>18.518518518518519</c:v>
                </c:pt>
                <c:pt idx="3">
                  <c:v>22.118525431637892</c:v>
                </c:pt>
                <c:pt idx="4">
                  <c:v>30.487804878048781</c:v>
                </c:pt>
                <c:pt idx="5">
                  <c:v>26.865671641791049</c:v>
                </c:pt>
                <c:pt idx="6">
                  <c:v>30.714285714285719</c:v>
                </c:pt>
                <c:pt idx="8">
                  <c:v>19.996143463170071</c:v>
                </c:pt>
                <c:pt idx="9">
                  <c:v>22.121212121212121</c:v>
                </c:pt>
                <c:pt idx="10">
                  <c:v>23.550087873462211</c:v>
                </c:pt>
                <c:pt idx="11">
                  <c:v>30.76923076923077</c:v>
                </c:pt>
                <c:pt idx="12">
                  <c:v>19.08396946564886</c:v>
                </c:pt>
                <c:pt idx="13">
                  <c:v>25.787401574803152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E6-8C4E-ACBB-C5296DC9EFCF}"/>
            </c:ext>
          </c:extLst>
        </c:ser>
        <c:ser>
          <c:idx val="2"/>
          <c:order val="2"/>
          <c:tx>
            <c:strRef>
              <c:f>'HS Social'!$D$2</c:f>
              <c:strCache>
                <c:ptCount val="1"/>
                <c:pt idx="0">
                  <c:v>Good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'HS Social'!$A$3:$A$16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Social'!$D$3:$D$16</c:f>
              <c:numCache>
                <c:formatCode>0.00</c:formatCode>
                <c:ptCount val="14"/>
                <c:pt idx="0">
                  <c:v>34.06</c:v>
                </c:pt>
                <c:pt idx="2">
                  <c:v>33.445566778900108</c:v>
                </c:pt>
                <c:pt idx="3">
                  <c:v>34.367708819412037</c:v>
                </c:pt>
                <c:pt idx="4">
                  <c:v>41.463414634146339</c:v>
                </c:pt>
                <c:pt idx="5">
                  <c:v>33.432835820895527</c:v>
                </c:pt>
                <c:pt idx="6">
                  <c:v>32.857142857142847</c:v>
                </c:pt>
                <c:pt idx="8">
                  <c:v>33.686849209409949</c:v>
                </c:pt>
                <c:pt idx="9">
                  <c:v>36.969696969696969</c:v>
                </c:pt>
                <c:pt idx="10">
                  <c:v>35.500878734622141</c:v>
                </c:pt>
                <c:pt idx="11">
                  <c:v>35.164835164835168</c:v>
                </c:pt>
                <c:pt idx="12">
                  <c:v>40.458015267175583</c:v>
                </c:pt>
                <c:pt idx="13">
                  <c:v>31.496062992125989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E6-8C4E-ACBB-C5296DC9EFCF}"/>
            </c:ext>
          </c:extLst>
        </c:ser>
        <c:ser>
          <c:idx val="3"/>
          <c:order val="3"/>
          <c:tx>
            <c:strRef>
              <c:f>'HS Social'!$E$2</c:f>
              <c:strCache>
                <c:ptCount val="1"/>
                <c:pt idx="0">
                  <c:v>Very Good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'HS Social'!$A$3:$A$16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Social'!$E$3:$E$16</c:f>
              <c:numCache>
                <c:formatCode>0.00</c:formatCode>
                <c:ptCount val="14"/>
                <c:pt idx="0">
                  <c:v>24.97</c:v>
                </c:pt>
                <c:pt idx="2">
                  <c:v>26.861204638982421</c:v>
                </c:pt>
                <c:pt idx="3">
                  <c:v>24.82501166588894</c:v>
                </c:pt>
                <c:pt idx="4">
                  <c:v>8.536585365853659</c:v>
                </c:pt>
                <c:pt idx="5">
                  <c:v>17.014925373134329</c:v>
                </c:pt>
                <c:pt idx="6">
                  <c:v>14.285714285714279</c:v>
                </c:pt>
                <c:pt idx="8">
                  <c:v>26.16660239105283</c:v>
                </c:pt>
                <c:pt idx="9">
                  <c:v>23.939393939393941</c:v>
                </c:pt>
                <c:pt idx="10">
                  <c:v>22.231985940246052</c:v>
                </c:pt>
                <c:pt idx="11">
                  <c:v>15.38461538461539</c:v>
                </c:pt>
                <c:pt idx="12">
                  <c:v>21.374045801526719</c:v>
                </c:pt>
                <c:pt idx="13">
                  <c:v>21.8503937007874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E6-8C4E-ACBB-C5296DC9EFCF}"/>
            </c:ext>
          </c:extLst>
        </c:ser>
        <c:ser>
          <c:idx val="4"/>
          <c:order val="4"/>
          <c:tx>
            <c:strRef>
              <c:f>'HS Social'!$F$2</c:f>
              <c:strCache>
                <c:ptCount val="1"/>
                <c:pt idx="0">
                  <c:v>Excellent</c:v>
                </c:pt>
              </c:strCache>
            </c:strRef>
          </c:tx>
          <c:invertIfNegative val="0"/>
          <c:cat>
            <c:strRef>
              <c:f>'HS Social'!$A$3:$A$16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Social'!$F$3:$F$16</c:f>
              <c:numCache>
                <c:formatCode>0.0</c:formatCode>
                <c:ptCount val="14"/>
                <c:pt idx="0" formatCode="0.00">
                  <c:v>11.81</c:v>
                </c:pt>
                <c:pt idx="2" formatCode="0.00">
                  <c:v>14.964459408903849</c:v>
                </c:pt>
                <c:pt idx="3" formatCode="0.00">
                  <c:v>10.662622491833879</c:v>
                </c:pt>
                <c:pt idx="4" formatCode="0.00">
                  <c:v>4.8780487804878048</c:v>
                </c:pt>
                <c:pt idx="5" formatCode="0.00">
                  <c:v>5.9701492537313428</c:v>
                </c:pt>
                <c:pt idx="6" formatCode="0.00">
                  <c:v>7.1428571428571423</c:v>
                </c:pt>
                <c:pt idx="8" formatCode="0.00">
                  <c:v>13.613575009641339</c:v>
                </c:pt>
                <c:pt idx="9" formatCode="0.00">
                  <c:v>8.1818181818181817</c:v>
                </c:pt>
                <c:pt idx="10" formatCode="0.00">
                  <c:v>7.9964850615114242</c:v>
                </c:pt>
                <c:pt idx="11" formatCode="0.00">
                  <c:v>7.6923076923076934</c:v>
                </c:pt>
                <c:pt idx="12" formatCode="0.00">
                  <c:v>6.8702290076335881</c:v>
                </c:pt>
                <c:pt idx="13" formatCode="0.00">
                  <c:v>7.8740157480314963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E6-8C4E-ACBB-C5296DC9E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0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At val="14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600" b="1" i="0" u="none" strike="noStrike" baseline="0">
                <a:effectLst/>
              </a:rPr>
              <a:t>I feel that belong in my high school community</a:t>
            </a:r>
            <a:r>
              <a:rPr lang="en-US" sz="2600" b="0" i="0" u="none" strike="noStrike" baseline="0"/>
              <a:t> </a:t>
            </a:r>
            <a:endParaRPr lang="en-US" sz="2600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'HS Belonging'!$B$2</c:f>
              <c:strCache>
                <c:ptCount val="1"/>
                <c:pt idx="0">
                  <c:v>Strongly disagree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'HS Belonging'!$A$3:$A$16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Belonging'!$B$3:$B$16</c:f>
              <c:numCache>
                <c:formatCode>0.00</c:formatCode>
                <c:ptCount val="14"/>
                <c:pt idx="0">
                  <c:v>6.1</c:v>
                </c:pt>
                <c:pt idx="2">
                  <c:v>5.5118110236220472</c:v>
                </c:pt>
                <c:pt idx="3">
                  <c:v>5.44392523364486</c:v>
                </c:pt>
                <c:pt idx="4">
                  <c:v>14.63414634146341</c:v>
                </c:pt>
                <c:pt idx="5">
                  <c:v>12.53731343283582</c:v>
                </c:pt>
                <c:pt idx="6">
                  <c:v>12.23021582733813</c:v>
                </c:pt>
                <c:pt idx="8">
                  <c:v>5.083107846926942</c:v>
                </c:pt>
                <c:pt idx="9">
                  <c:v>8.4848484848484862</c:v>
                </c:pt>
                <c:pt idx="10">
                  <c:v>8.4358523725834793</c:v>
                </c:pt>
                <c:pt idx="11">
                  <c:v>4.395604395604396</c:v>
                </c:pt>
                <c:pt idx="12">
                  <c:v>7.6335877862595423</c:v>
                </c:pt>
                <c:pt idx="13">
                  <c:v>8.4812623274161734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A-5B45-997F-D984DCC9C746}"/>
            </c:ext>
          </c:extLst>
        </c:ser>
        <c:ser>
          <c:idx val="1"/>
          <c:order val="1"/>
          <c:tx>
            <c:strRef>
              <c:f>'HS Belonging'!$C$2</c:f>
              <c:strCache>
                <c:ptCount val="1"/>
                <c:pt idx="0">
                  <c:v>Somewhat disagree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'HS Belonging'!$A$3:$A$16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Belonging'!$C$3:$C$16</c:f>
              <c:numCache>
                <c:formatCode>0.00</c:formatCode>
                <c:ptCount val="14"/>
                <c:pt idx="0">
                  <c:v>11.3</c:v>
                </c:pt>
                <c:pt idx="2">
                  <c:v>9.036370453693289</c:v>
                </c:pt>
                <c:pt idx="3">
                  <c:v>11.77570093457944</c:v>
                </c:pt>
                <c:pt idx="4">
                  <c:v>19.512195121951219</c:v>
                </c:pt>
                <c:pt idx="5">
                  <c:v>18.507462686567159</c:v>
                </c:pt>
                <c:pt idx="6">
                  <c:v>16.546762589928061</c:v>
                </c:pt>
                <c:pt idx="8">
                  <c:v>9.4704290684190191</c:v>
                </c:pt>
                <c:pt idx="9">
                  <c:v>16.060606060606059</c:v>
                </c:pt>
                <c:pt idx="10">
                  <c:v>15.28998242530756</c:v>
                </c:pt>
                <c:pt idx="11">
                  <c:v>18.131868131868131</c:v>
                </c:pt>
                <c:pt idx="12">
                  <c:v>14.503816793893129</c:v>
                </c:pt>
                <c:pt idx="13">
                  <c:v>14.398422090729779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7A-5B45-997F-D984DCC9C746}"/>
            </c:ext>
          </c:extLst>
        </c:ser>
        <c:ser>
          <c:idx val="2"/>
          <c:order val="2"/>
          <c:tx>
            <c:strRef>
              <c:f>'HS Belonging'!$D$2</c:f>
              <c:strCache>
                <c:ptCount val="1"/>
                <c:pt idx="0">
                  <c:v>Neither agree nor disagree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'HS Belonging'!$A$3:$A$16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Belonging'!$D$3:$D$16</c:f>
              <c:numCache>
                <c:formatCode>0.00</c:formatCode>
                <c:ptCount val="14"/>
                <c:pt idx="0">
                  <c:v>23.55</c:v>
                </c:pt>
                <c:pt idx="2">
                  <c:v>21.372328458942629</c:v>
                </c:pt>
                <c:pt idx="3">
                  <c:v>24.228971962616821</c:v>
                </c:pt>
                <c:pt idx="4">
                  <c:v>23.170731707317071</c:v>
                </c:pt>
                <c:pt idx="5">
                  <c:v>28.955223880597011</c:v>
                </c:pt>
                <c:pt idx="6">
                  <c:v>29.49640287769784</c:v>
                </c:pt>
                <c:pt idx="8">
                  <c:v>23.212214920757631</c:v>
                </c:pt>
                <c:pt idx="9">
                  <c:v>20.90909090909091</c:v>
                </c:pt>
                <c:pt idx="10">
                  <c:v>23.11072056239016</c:v>
                </c:pt>
                <c:pt idx="11">
                  <c:v>28.571428571428569</c:v>
                </c:pt>
                <c:pt idx="12">
                  <c:v>24.427480916030529</c:v>
                </c:pt>
                <c:pt idx="13">
                  <c:v>26.42998027613412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7A-5B45-997F-D984DCC9C746}"/>
            </c:ext>
          </c:extLst>
        </c:ser>
        <c:ser>
          <c:idx val="3"/>
          <c:order val="3"/>
          <c:tx>
            <c:strRef>
              <c:f>'HS Belonging'!$E$2</c:f>
              <c:strCache>
                <c:ptCount val="1"/>
                <c:pt idx="0">
                  <c:v>Somewhat agree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'HS Belonging'!$A$3:$A$16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Belonging'!$E$3:$E$16</c:f>
              <c:numCache>
                <c:formatCode>0.00</c:formatCode>
                <c:ptCount val="14"/>
                <c:pt idx="0">
                  <c:v>37.32</c:v>
                </c:pt>
                <c:pt idx="2">
                  <c:v>37.757780277465322</c:v>
                </c:pt>
                <c:pt idx="3">
                  <c:v>38.247663551401857</c:v>
                </c:pt>
                <c:pt idx="4">
                  <c:v>34.146341463414643</c:v>
                </c:pt>
                <c:pt idx="5">
                  <c:v>29.253731343283579</c:v>
                </c:pt>
                <c:pt idx="6">
                  <c:v>26.618705035971221</c:v>
                </c:pt>
                <c:pt idx="8">
                  <c:v>37.553150367220717</c:v>
                </c:pt>
                <c:pt idx="9">
                  <c:v>38.484848484848477</c:v>
                </c:pt>
                <c:pt idx="10">
                  <c:v>37.697715289982433</c:v>
                </c:pt>
                <c:pt idx="11">
                  <c:v>31.318681318681321</c:v>
                </c:pt>
                <c:pt idx="12">
                  <c:v>43.511450381679388</c:v>
                </c:pt>
                <c:pt idx="13">
                  <c:v>35.108481262327423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7A-5B45-997F-D984DCC9C746}"/>
            </c:ext>
          </c:extLst>
        </c:ser>
        <c:ser>
          <c:idx val="4"/>
          <c:order val="4"/>
          <c:tx>
            <c:strRef>
              <c:f>'HS Belonging'!$F$2</c:f>
              <c:strCache>
                <c:ptCount val="1"/>
                <c:pt idx="0">
                  <c:v>Strongly agree</c:v>
                </c:pt>
              </c:strCache>
            </c:strRef>
          </c:tx>
          <c:invertIfNegative val="0"/>
          <c:cat>
            <c:strRef>
              <c:f>'HS Belonging'!$A$3:$A$16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'HS Belonging'!$F$3:$F$16</c:f>
              <c:numCache>
                <c:formatCode>0.0</c:formatCode>
                <c:ptCount val="14"/>
                <c:pt idx="0" formatCode="0.00">
                  <c:v>21.74</c:v>
                </c:pt>
                <c:pt idx="2" formatCode="0.00">
                  <c:v>26.32170978627671</c:v>
                </c:pt>
                <c:pt idx="3" formatCode="0.00">
                  <c:v>20.303738317757009</c:v>
                </c:pt>
                <c:pt idx="4" formatCode="0.00">
                  <c:v>8.536585365853659</c:v>
                </c:pt>
                <c:pt idx="5" formatCode="0.00">
                  <c:v>10.746268656716421</c:v>
                </c:pt>
                <c:pt idx="6" formatCode="0.00">
                  <c:v>15.10791366906475</c:v>
                </c:pt>
                <c:pt idx="8" formatCode="0.00">
                  <c:v>24.68109779667569</c:v>
                </c:pt>
                <c:pt idx="9" formatCode="0.00">
                  <c:v>16.060606060606059</c:v>
                </c:pt>
                <c:pt idx="10" formatCode="0.00">
                  <c:v>15.46572934973638</c:v>
                </c:pt>
                <c:pt idx="11" formatCode="0.00">
                  <c:v>17.58241758241758</c:v>
                </c:pt>
                <c:pt idx="12" formatCode="0.00">
                  <c:v>9.9236641221374047</c:v>
                </c:pt>
                <c:pt idx="13" formatCode="0.00">
                  <c:v>15.5818540433925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7A-5B45-997F-D984DCC9C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Number of Times Bullied in the Last 12</a:t>
            </a:r>
            <a:r>
              <a:rPr lang="en-US" sz="2600" b="1" baseline="0"/>
              <a:t> Months</a:t>
            </a:r>
            <a:endParaRPr lang="en-US" sz="2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0"/>
          <c:tx>
            <c:strRef>
              <c:f>'Numbers Bullied'!$C$2</c:f>
              <c:strCache>
                <c:ptCount val="1"/>
                <c:pt idx="0">
                  <c:v>1 time</c:v>
                </c:pt>
              </c:strCache>
            </c:strRef>
          </c:tx>
          <c:spPr>
            <a:solidFill>
              <a:schemeClr val="accent2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'Numbers Bullied'!$A$3:$A$16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'Numbers Bullied'!$C$3:$C$16</c:f>
              <c:numCache>
                <c:formatCode>0.0</c:formatCode>
                <c:ptCount val="14"/>
                <c:pt idx="0" formatCode="0.00">
                  <c:v>10.41</c:v>
                </c:pt>
                <c:pt idx="2" formatCode="0.00">
                  <c:v>8.3083832335329344</c:v>
                </c:pt>
                <c:pt idx="3" formatCode="0.00">
                  <c:v>11.017740429505141</c:v>
                </c:pt>
                <c:pt idx="4" formatCode="0.00">
                  <c:v>21.95121951219512</c:v>
                </c:pt>
                <c:pt idx="5" formatCode="0.00">
                  <c:v>12.5748502994012</c:v>
                </c:pt>
                <c:pt idx="6" formatCode="0.00">
                  <c:v>12.857142857142859</c:v>
                </c:pt>
                <c:pt idx="8" formatCode="0.00">
                  <c:v>8.9137565116727764</c:v>
                </c:pt>
                <c:pt idx="9" formatCode="0.00">
                  <c:v>11.515151515151519</c:v>
                </c:pt>
                <c:pt idx="10" formatCode="0.00">
                  <c:v>14.14762741652021</c:v>
                </c:pt>
                <c:pt idx="11" formatCode="0.00">
                  <c:v>13.8121546961326</c:v>
                </c:pt>
                <c:pt idx="12" formatCode="0.00">
                  <c:v>16.03053435114504</c:v>
                </c:pt>
                <c:pt idx="13" formatCode="0.00">
                  <c:v>12.79527559055118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D2-2C43-B938-CD4ABB0CE956}"/>
            </c:ext>
          </c:extLst>
        </c:ser>
        <c:ser>
          <c:idx val="2"/>
          <c:order val="1"/>
          <c:tx>
            <c:strRef>
              <c:f>'Numbers Bullied'!$D$2</c:f>
              <c:strCache>
                <c:ptCount val="1"/>
                <c:pt idx="0">
                  <c:v>2-3 times</c:v>
                </c:pt>
              </c:strCache>
            </c:strRef>
          </c:tx>
          <c:spPr>
            <a:solidFill>
              <a:schemeClr val="accent2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'Numbers Bullied'!$A$3:$A$16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'Numbers Bullied'!$D$3:$D$16</c:f>
              <c:numCache>
                <c:formatCode>0.0</c:formatCode>
                <c:ptCount val="14"/>
                <c:pt idx="0" formatCode="0.00">
                  <c:v>9.23</c:v>
                </c:pt>
                <c:pt idx="2" formatCode="0.00">
                  <c:v>4.9775449101796401</c:v>
                </c:pt>
                <c:pt idx="3" formatCode="0.00">
                  <c:v>10.130718954248371</c:v>
                </c:pt>
                <c:pt idx="4" formatCode="0.00">
                  <c:v>26.829268292682929</c:v>
                </c:pt>
                <c:pt idx="5" formatCode="0.00">
                  <c:v>22.754491017964071</c:v>
                </c:pt>
                <c:pt idx="6" formatCode="0.00">
                  <c:v>12.857142857142859</c:v>
                </c:pt>
                <c:pt idx="8" formatCode="0.00">
                  <c:v>6.5599073895427367</c:v>
                </c:pt>
                <c:pt idx="9" formatCode="0.00">
                  <c:v>19.696969696969699</c:v>
                </c:pt>
                <c:pt idx="10" formatCode="0.00">
                  <c:v>16.783831282952551</c:v>
                </c:pt>
                <c:pt idx="11" formatCode="0.00">
                  <c:v>10.49723756906077</c:v>
                </c:pt>
                <c:pt idx="12" formatCode="0.00">
                  <c:v>18.320610687022899</c:v>
                </c:pt>
                <c:pt idx="13" formatCode="0.00">
                  <c:v>8.2677165354330722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7B-684B-AC65-30D492ED60B0}"/>
            </c:ext>
          </c:extLst>
        </c:ser>
        <c:ser>
          <c:idx val="3"/>
          <c:order val="2"/>
          <c:tx>
            <c:strRef>
              <c:f>'Numbers Bullied'!$E$2</c:f>
              <c:strCache>
                <c:ptCount val="1"/>
                <c:pt idx="0">
                  <c:v>4 or more times</c:v>
                </c:pt>
              </c:strCache>
            </c:strRef>
          </c:tx>
          <c:spPr>
            <a:solidFill>
              <a:schemeClr val="accent2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'Numbers Bullied'!$A$3:$A$16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'Numbers Bullied'!$E$3:$E$16</c:f>
              <c:numCache>
                <c:formatCode>0.0</c:formatCode>
                <c:ptCount val="14"/>
                <c:pt idx="0" formatCode="0.00">
                  <c:v>3.8</c:v>
                </c:pt>
                <c:pt idx="2" formatCode="0.00">
                  <c:v>2.919161676646707</c:v>
                </c:pt>
                <c:pt idx="3" formatCode="0.00">
                  <c:v>3.3613445378151261</c:v>
                </c:pt>
                <c:pt idx="4" formatCode="0.00">
                  <c:v>15.853658536585369</c:v>
                </c:pt>
                <c:pt idx="5" formatCode="0.00">
                  <c:v>10.47904191616766</c:v>
                </c:pt>
                <c:pt idx="6" formatCode="0.00">
                  <c:v>11.428571428571431</c:v>
                </c:pt>
                <c:pt idx="8" formatCode="0.00">
                  <c:v>2.623962955817094</c:v>
                </c:pt>
                <c:pt idx="9" formatCode="0.00">
                  <c:v>7.5757575757575761</c:v>
                </c:pt>
                <c:pt idx="10" formatCode="0.00">
                  <c:v>6.942003514938488</c:v>
                </c:pt>
                <c:pt idx="11" formatCode="0.00">
                  <c:v>3.3149171270718232</c:v>
                </c:pt>
                <c:pt idx="12" formatCode="0.00">
                  <c:v>6.1068702290076331</c:v>
                </c:pt>
                <c:pt idx="13" formatCode="0.00">
                  <c:v>5.3149606299212602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7B-684B-AC65-30D492ED60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2083901696"/>
        <c:axId val="2083917824"/>
      </c:barChart>
      <c:catAx>
        <c:axId val="2083901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17824"/>
        <c:crosses val="autoZero"/>
        <c:auto val="1"/>
        <c:lblAlgn val="ctr"/>
        <c:lblOffset val="100"/>
        <c:noMultiLvlLbl val="0"/>
      </c:catAx>
      <c:valAx>
        <c:axId val="2083917824"/>
        <c:scaling>
          <c:orientation val="minMax"/>
          <c:max val="100"/>
        </c:scaling>
        <c:delete val="0"/>
        <c:axPos val="b"/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01696"/>
        <c:crosses val="max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 Being bullied because of gender or sexual orientation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'Bullied for Gender SO'!$B$2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'Bullied for Gender SO'!$A$3:$A$16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'Bullied for Gender SO'!$B$3:$B$16</c:f>
              <c:numCache>
                <c:formatCode>0.0</c:formatCode>
                <c:ptCount val="14"/>
                <c:pt idx="0" formatCode="0.00">
                  <c:v>44.73</c:v>
                </c:pt>
                <c:pt idx="2" formatCode="0.00">
                  <c:v>64.62882096069869</c:v>
                </c:pt>
                <c:pt idx="3" formatCode="0.00">
                  <c:v>49.067164179104481</c:v>
                </c:pt>
                <c:pt idx="4" formatCode="0.00">
                  <c:v>0</c:v>
                </c:pt>
                <c:pt idx="5" formatCode="0.00">
                  <c:v>11.66666666666667</c:v>
                </c:pt>
                <c:pt idx="6" formatCode="0.00">
                  <c:v>12.121212121212119</c:v>
                </c:pt>
                <c:pt idx="8" formatCode="0.00">
                  <c:v>71.75398633257403</c:v>
                </c:pt>
                <c:pt idx="9" formatCode="0.00">
                  <c:v>2.8037383177570092</c:v>
                </c:pt>
                <c:pt idx="10" formatCode="0.00">
                  <c:v>23.134328358208951</c:v>
                </c:pt>
                <c:pt idx="11" formatCode="0.00">
                  <c:v>24.242424242424239</c:v>
                </c:pt>
                <c:pt idx="12" formatCode="0.00">
                  <c:v>12.90322580645161</c:v>
                </c:pt>
                <c:pt idx="13" formatCode="0.00">
                  <c:v>46.25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6-B04D-A136-81CBD5859F05}"/>
            </c:ext>
          </c:extLst>
        </c:ser>
        <c:ser>
          <c:idx val="1"/>
          <c:order val="1"/>
          <c:tx>
            <c:strRef>
              <c:f>'Bullied for Gender SO'!$C$2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'Bullied for Gender SO'!$A$3:$A$16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'Bullied for Gender SO'!$C$3:$C$16</c:f>
              <c:numCache>
                <c:formatCode>0.0</c:formatCode>
                <c:ptCount val="14"/>
                <c:pt idx="0" formatCode="0.00">
                  <c:v>55.27</c:v>
                </c:pt>
                <c:pt idx="2" formatCode="0.00">
                  <c:v>35.37117903930131</c:v>
                </c:pt>
                <c:pt idx="3" formatCode="0.00">
                  <c:v>50.932835820895527</c:v>
                </c:pt>
                <c:pt idx="4" formatCode="0.00">
                  <c:v>100</c:v>
                </c:pt>
                <c:pt idx="5" formatCode="0.00">
                  <c:v>88.333333333333329</c:v>
                </c:pt>
                <c:pt idx="6" formatCode="0.00">
                  <c:v>87.878787878787875</c:v>
                </c:pt>
                <c:pt idx="8" formatCode="0.00">
                  <c:v>28.24601366742597</c:v>
                </c:pt>
                <c:pt idx="9" formatCode="0.00">
                  <c:v>97.196261682242991</c:v>
                </c:pt>
                <c:pt idx="10" formatCode="0.00">
                  <c:v>76.865671641791039</c:v>
                </c:pt>
                <c:pt idx="11" formatCode="0.00">
                  <c:v>75.757575757575751</c:v>
                </c:pt>
                <c:pt idx="12" formatCode="0.00">
                  <c:v>87.096774193548384</c:v>
                </c:pt>
                <c:pt idx="13" formatCode="0.00">
                  <c:v>53.75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6-B04D-A136-81CBD5859F0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30"/>
        <c:overlap val="100"/>
        <c:axId val="2083901696"/>
        <c:axId val="2083917824"/>
      </c:barChart>
      <c:catAx>
        <c:axId val="20839016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17824"/>
        <c:crosses val="autoZero"/>
        <c:auto val="1"/>
        <c:lblAlgn val="ctr"/>
        <c:lblOffset val="100"/>
        <c:noMultiLvlLbl val="0"/>
      </c:catAx>
      <c:valAx>
        <c:axId val="2083917824"/>
        <c:scaling>
          <c:orientation val="minMax"/>
          <c:max val="100"/>
        </c:scaling>
        <c:delete val="0"/>
        <c:axPos val="b"/>
        <c:numFmt formatCode="0" sourceLinked="0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3901696"/>
        <c:crosses val="max"/>
        <c:crossBetween val="between"/>
        <c:majorUnit val="2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Major!$C$2:$C$16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10.3</c:v>
                </c:pt>
                <c:pt idx="3">
                  <c:v>12.058602554470321</c:v>
                </c:pt>
                <c:pt idx="4">
                  <c:v>9.55607476635514</c:v>
                </c:pt>
                <c:pt idx="5">
                  <c:v>3.6585365853658529</c:v>
                </c:pt>
                <c:pt idx="6">
                  <c:v>2.6865671641791038</c:v>
                </c:pt>
                <c:pt idx="7">
                  <c:v>5</c:v>
                </c:pt>
                <c:pt idx="9">
                  <c:v>11.95357833655706</c:v>
                </c:pt>
                <c:pt idx="10">
                  <c:v>3.333333333333333</c:v>
                </c:pt>
                <c:pt idx="11">
                  <c:v>6.25</c:v>
                </c:pt>
                <c:pt idx="12">
                  <c:v>6.0439560439560438</c:v>
                </c:pt>
                <c:pt idx="13">
                  <c:v>3.8461538461538458</c:v>
                </c:pt>
                <c:pt idx="14">
                  <c:v>5.6974459724950881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3D-78F8-0E46-ADF3-4247F535BE20}"/>
            </c:ext>
          </c:extLst>
        </c:ser>
        <c:ser>
          <c:idx val="1"/>
          <c:order val="1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4070891043043342E-2"/>
                  <c:y val="-1.545267266141141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29D88BA-0CF8-8A4A-8848-E63F254DD4CA}" type="CELLRANGE">
                      <a:rPr lang="en-US" sz="2000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3F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FEE3B7-BB0F-DB47-95FB-C7D13BDCBF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0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1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287F321-3B00-574D-A32B-38F57B7613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2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13F563A-367E-E445-9BAD-F504450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3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4A0DA11-D8F8-534C-954E-BD95EB6E350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4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C14715C-B6C7-AF44-9A4F-3D90725A7C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5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5D825BD-A17C-7149-A883-CAD53C37BB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6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7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D0D0C89-3F81-9C45-AAA4-9E7A84BD57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8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310634C-A2D5-B947-9F07-BA7E245423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9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278694A-C22A-1D40-8EBC-EFC2008AE6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A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A9BF9B7-E1AF-4741-A8A6-860CF65D7A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B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B741903-FD68-3842-A490-1D0DA0EB15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C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7D7FBA5-3043-CA44-A57A-2E56A90A426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4D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Major!$D$2:$D$16</c:f>
              <c:numCache>
                <c:formatCode>0.0</c:formatCode>
                <c:ptCount val="15"/>
                <c:pt idx="0">
                  <c:v>50</c:v>
                </c:pt>
                <c:pt idx="1">
                  <c:v>39.700000000000003</c:v>
                </c:pt>
                <c:pt idx="3">
                  <c:v>37.941397445529681</c:v>
                </c:pt>
                <c:pt idx="4">
                  <c:v>40.443925233644862</c:v>
                </c:pt>
                <c:pt idx="5">
                  <c:v>46.341463414634148</c:v>
                </c:pt>
                <c:pt idx="6">
                  <c:v>47.313432835820898</c:v>
                </c:pt>
                <c:pt idx="7">
                  <c:v>45</c:v>
                </c:pt>
                <c:pt idx="9">
                  <c:v>38.046421663442942</c:v>
                </c:pt>
                <c:pt idx="10">
                  <c:v>46.666666666666664</c:v>
                </c:pt>
                <c:pt idx="11">
                  <c:v>43.75</c:v>
                </c:pt>
                <c:pt idx="12">
                  <c:v>43.956043956043956</c:v>
                </c:pt>
                <c:pt idx="13">
                  <c:v>46.153846153846153</c:v>
                </c:pt>
                <c:pt idx="14">
                  <c:v>44.302554027504911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Major!$C$2:$C$16</c15:f>
                <c15:dlblRangeCache>
                  <c:ptCount val="15"/>
                  <c:pt idx="0">
                    <c:v>Business</c:v>
                  </c:pt>
                  <c:pt idx="1">
                    <c:v>10.3</c:v>
                  </c:pt>
                  <c:pt idx="3">
                    <c:v>12.1</c:v>
                  </c:pt>
                  <c:pt idx="4">
                    <c:v>9.6</c:v>
                  </c:pt>
                  <c:pt idx="5">
                    <c:v>3.7</c:v>
                  </c:pt>
                  <c:pt idx="6">
                    <c:v>2.7</c:v>
                  </c:pt>
                  <c:pt idx="7">
                    <c:v>5.0</c:v>
                  </c:pt>
                  <c:pt idx="9">
                    <c:v>12.0</c:v>
                  </c:pt>
                  <c:pt idx="10">
                    <c:v>3.3</c:v>
                  </c:pt>
                  <c:pt idx="11">
                    <c:v>6.3</c:v>
                  </c:pt>
                  <c:pt idx="12">
                    <c:v>6.0</c:v>
                  </c:pt>
                  <c:pt idx="13">
                    <c:v>3.8</c:v>
                  </c:pt>
                  <c:pt idx="14">
                    <c:v>5.7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4E-78F8-0E46-ADF3-4247F535BE20}"/>
            </c:ext>
          </c:extLst>
        </c:ser>
        <c:ser>
          <c:idx val="2"/>
          <c:order val="2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Major!$E$2:$E$16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15.98</c:v>
                </c:pt>
                <c:pt idx="3">
                  <c:v>30.015026296018029</c:v>
                </c:pt>
                <c:pt idx="4">
                  <c:v>7.7803738317757016</c:v>
                </c:pt>
                <c:pt idx="5">
                  <c:v>17.073170731707322</c:v>
                </c:pt>
                <c:pt idx="6">
                  <c:v>11.343283582089549</c:v>
                </c:pt>
                <c:pt idx="7">
                  <c:v>19.285714285714288</c:v>
                </c:pt>
                <c:pt idx="9">
                  <c:v>17.427466150870401</c:v>
                </c:pt>
                <c:pt idx="10">
                  <c:v>10.303030303030299</c:v>
                </c:pt>
                <c:pt idx="11">
                  <c:v>11.97183098591549</c:v>
                </c:pt>
                <c:pt idx="12">
                  <c:v>18.681318681318679</c:v>
                </c:pt>
                <c:pt idx="13">
                  <c:v>11.53846153846154</c:v>
                </c:pt>
                <c:pt idx="14">
                  <c:v>16.110019646365419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50-78F8-0E46-ADF3-4247F535BE2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780176755761463E-3"/>
                  <c:y val="-1.5452672661411414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65054F5-476E-C14F-A073-7CCF51580ED0}" type="CELLRANGE">
                      <a:rPr lang="en-US" sz="2000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52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6B6023F-B427-3540-96FE-A7823D39E0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3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4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336CBBB-9023-804C-A8BB-5D4A3E31E5E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5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E928F9B-C075-4141-8EF4-9C0C57F82C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6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0368A84-EC14-DB4B-A0C2-3980E1C97D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7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7C6B252-EADF-8D44-B668-A5808B95120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8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16B4BF5-EC3D-BA48-A638-B3BC68F1130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9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A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93CB804-3F5D-C545-88DF-B166542F36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B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5B9D89E-716C-204C-BE97-F9C3F893F2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C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F73025B-97A2-B049-803C-BF9CD749FE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D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FA7951F-FAC1-104F-B0B7-335012A33C6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E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E40B242-47F0-454E-948D-DEEF3CF2F54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5F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34A83B9-413C-4C4D-BCA2-7E3B1741797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0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Major!$F$2:$F$16</c:f>
              <c:numCache>
                <c:formatCode>0.0</c:formatCode>
                <c:ptCount val="15"/>
                <c:pt idx="0">
                  <c:v>50</c:v>
                </c:pt>
                <c:pt idx="1">
                  <c:v>34.019999999999996</c:v>
                </c:pt>
                <c:pt idx="3">
                  <c:v>19.984973703981971</c:v>
                </c:pt>
                <c:pt idx="4">
                  <c:v>42.219626168224295</c:v>
                </c:pt>
                <c:pt idx="5">
                  <c:v>32.926829268292678</c:v>
                </c:pt>
                <c:pt idx="6">
                  <c:v>38.656716417910452</c:v>
                </c:pt>
                <c:pt idx="7">
                  <c:v>30.714285714285712</c:v>
                </c:pt>
                <c:pt idx="9">
                  <c:v>32.572533849129599</c:v>
                </c:pt>
                <c:pt idx="10">
                  <c:v>39.696969696969703</c:v>
                </c:pt>
                <c:pt idx="11">
                  <c:v>38.028169014084511</c:v>
                </c:pt>
                <c:pt idx="12">
                  <c:v>31.318681318681321</c:v>
                </c:pt>
                <c:pt idx="13">
                  <c:v>38.46153846153846</c:v>
                </c:pt>
                <c:pt idx="14">
                  <c:v>33.889980353634584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Major!$E$2:$E$16</c15:f>
                <c15:dlblRangeCache>
                  <c:ptCount val="15"/>
                  <c:pt idx="0">
                    <c:v>Engineering</c:v>
                  </c:pt>
                  <c:pt idx="1">
                    <c:v>16.0</c:v>
                  </c:pt>
                  <c:pt idx="3">
                    <c:v>30.0</c:v>
                  </c:pt>
                  <c:pt idx="4">
                    <c:v>7.8</c:v>
                  </c:pt>
                  <c:pt idx="5">
                    <c:v>17.1</c:v>
                  </c:pt>
                  <c:pt idx="6">
                    <c:v>11.3</c:v>
                  </c:pt>
                  <c:pt idx="7">
                    <c:v>19.3</c:v>
                  </c:pt>
                  <c:pt idx="9">
                    <c:v>17.4</c:v>
                  </c:pt>
                  <c:pt idx="10">
                    <c:v>10.3</c:v>
                  </c:pt>
                  <c:pt idx="11">
                    <c:v>12.0</c:v>
                  </c:pt>
                  <c:pt idx="12">
                    <c:v>18.7</c:v>
                  </c:pt>
                  <c:pt idx="13">
                    <c:v>11.5</c:v>
                  </c:pt>
                  <c:pt idx="14">
                    <c:v>16.1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61-78F8-0E46-ADF3-4247F535BE20}"/>
            </c:ext>
          </c:extLst>
        </c:ser>
        <c:ser>
          <c:idx val="4"/>
          <c:order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Major!$G$2:$G$16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15.72</c:v>
                </c:pt>
                <c:pt idx="3">
                  <c:v>12.17129977460556</c:v>
                </c:pt>
                <c:pt idx="4">
                  <c:v>18.411214953271031</c:v>
                </c:pt>
                <c:pt idx="5">
                  <c:v>18.292682926829269</c:v>
                </c:pt>
                <c:pt idx="6">
                  <c:v>20</c:v>
                </c:pt>
                <c:pt idx="7">
                  <c:v>18.571428571428569</c:v>
                </c:pt>
                <c:pt idx="9">
                  <c:v>15.14506769825919</c:v>
                </c:pt>
                <c:pt idx="10">
                  <c:v>20.90909090909091</c:v>
                </c:pt>
                <c:pt idx="11">
                  <c:v>18.573943661971828</c:v>
                </c:pt>
                <c:pt idx="12">
                  <c:v>17.032967032967029</c:v>
                </c:pt>
                <c:pt idx="13">
                  <c:v>19.23076923076923</c:v>
                </c:pt>
                <c:pt idx="14">
                  <c:v>18.860510805500979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63-78F8-0E46-ADF3-4247F535BE20}"/>
            </c:ext>
          </c:extLst>
        </c:ser>
        <c:ser>
          <c:idx val="5"/>
          <c:order val="5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4452400599573853E-2"/>
                  <c:y val="2.9420915350624187E-4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714BA18-B8DB-D742-8480-913CE2DD648F}" type="CELLRANGE">
                      <a:rPr lang="en-US" sz="2000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1620209938616092E-2"/>
                      <c:h val="9.780775244769726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65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EE9C737-3468-6B47-B159-5B76CD5F6A4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6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7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16EA06-EC9F-CB41-8A40-6355EB725B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8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271DFD8-D00A-7F44-A91C-9CFAF96BC2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9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58FA5EE-B041-FE4A-A75D-0CE993259E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A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06EEA6F-B8A2-254E-AB3B-67C4EC6FC3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B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F58DE34-04BC-254C-871E-3DF6A08330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C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D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38B82F5-FB70-BC4F-8A89-C9545F3C8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E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A48E08C-4C6F-7B4F-9600-F692C4D128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6F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E363067-971B-FC49-BF88-16228EB1B1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0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61F36E7-8D95-B34B-BD11-8D5A5E3FDBA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1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742D439-94CA-E649-8B65-112768AFCC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2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6FDDFD-8C2B-6E4F-837A-5BD236BD367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3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Major!$H$2:$H$16</c:f>
              <c:numCache>
                <c:formatCode>0.0</c:formatCode>
                <c:ptCount val="15"/>
                <c:pt idx="0">
                  <c:v>50</c:v>
                </c:pt>
                <c:pt idx="1">
                  <c:v>34.28</c:v>
                </c:pt>
                <c:pt idx="3">
                  <c:v>37.828700225394442</c:v>
                </c:pt>
                <c:pt idx="4">
                  <c:v>31.588785046728969</c:v>
                </c:pt>
                <c:pt idx="5">
                  <c:v>31.707317073170731</c:v>
                </c:pt>
                <c:pt idx="6">
                  <c:v>30</c:v>
                </c:pt>
                <c:pt idx="7">
                  <c:v>31.428571428571431</c:v>
                </c:pt>
                <c:pt idx="9">
                  <c:v>34.85493230174081</c:v>
                </c:pt>
                <c:pt idx="10">
                  <c:v>29.09090909090909</c:v>
                </c:pt>
                <c:pt idx="11">
                  <c:v>31.426056338028172</c:v>
                </c:pt>
                <c:pt idx="12">
                  <c:v>32.967032967032971</c:v>
                </c:pt>
                <c:pt idx="13">
                  <c:v>30.76923076923077</c:v>
                </c:pt>
                <c:pt idx="14">
                  <c:v>31.139489194499021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Major!$G$2:$G$16</c15:f>
                <c15:dlblRangeCache>
                  <c:ptCount val="15"/>
                  <c:pt idx="0">
                    <c:v>Natural sciences</c:v>
                  </c:pt>
                  <c:pt idx="1">
                    <c:v>15.7</c:v>
                  </c:pt>
                  <c:pt idx="3">
                    <c:v>12.2</c:v>
                  </c:pt>
                  <c:pt idx="4">
                    <c:v>18.4</c:v>
                  </c:pt>
                  <c:pt idx="5">
                    <c:v>18.3</c:v>
                  </c:pt>
                  <c:pt idx="6">
                    <c:v>20.0</c:v>
                  </c:pt>
                  <c:pt idx="7">
                    <c:v>18.6</c:v>
                  </c:pt>
                  <c:pt idx="9">
                    <c:v>15.1</c:v>
                  </c:pt>
                  <c:pt idx="10">
                    <c:v>20.9</c:v>
                  </c:pt>
                  <c:pt idx="11">
                    <c:v>18.6</c:v>
                  </c:pt>
                  <c:pt idx="12">
                    <c:v>17.0</c:v>
                  </c:pt>
                  <c:pt idx="13">
                    <c:v>19.2</c:v>
                  </c:pt>
                  <c:pt idx="14">
                    <c:v>18.9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74-78F8-0E46-ADF3-4247F535BE20}"/>
            </c:ext>
          </c:extLst>
        </c:ser>
        <c:ser>
          <c:idx val="6"/>
          <c:order val="6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Major!$I$2:$I$16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12.29</c:v>
                </c:pt>
                <c:pt idx="3">
                  <c:v>7.8512396694214877</c:v>
                </c:pt>
                <c:pt idx="4">
                  <c:v>14.696261682242991</c:v>
                </c:pt>
                <c:pt idx="5">
                  <c:v>13.414634146341459</c:v>
                </c:pt>
                <c:pt idx="6">
                  <c:v>15.82089552238806</c:v>
                </c:pt>
                <c:pt idx="7">
                  <c:v>12.857142857142859</c:v>
                </c:pt>
                <c:pt idx="9">
                  <c:v>10.48355899419729</c:v>
                </c:pt>
                <c:pt idx="10">
                  <c:v>19.393939393939391</c:v>
                </c:pt>
                <c:pt idx="11">
                  <c:v>18.926056338028172</c:v>
                </c:pt>
                <c:pt idx="12">
                  <c:v>11.53846153846154</c:v>
                </c:pt>
                <c:pt idx="13">
                  <c:v>10.76923076923077</c:v>
                </c:pt>
                <c:pt idx="14">
                  <c:v>12.18074656188605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76-78F8-0E46-ADF3-4247F535BE20}"/>
            </c:ext>
          </c:extLst>
        </c:ser>
        <c:ser>
          <c:idx val="7"/>
          <c:order val="7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3121646326074728E-3"/>
                  <c:y val="1.081687086298796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7227BBB-9386-0E40-AB0F-93F78CD0BB4A}" type="CELLRANGE">
                      <a:rPr lang="en-US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78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022337F-488B-A543-8AB0-063EDD611A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9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A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5618E92-00D7-F64E-B345-5B40F9A71E8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B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7769961-5818-A448-9A6C-F8AACDEBA9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C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0FB4D88-A45B-F14B-9C11-4B519BFD3C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D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9C3F495-89EB-7C47-88B9-B48BFF6C4B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E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6B4AECA-1BBF-D14E-92B6-17A7254BDA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7F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0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9FF3788-48C0-1143-A510-EB0CFD2316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1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20C3CE6-F224-DC4A-9A80-6BF39F6ED4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2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E64A61E-81BA-7A4F-A0B3-63189D33A77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3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D9A189B-2F47-5D41-A984-EBA908FBAF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4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9E774D9-E027-5A41-B10C-2694138476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5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F2AD68C-5FC8-3248-8609-ADD4038320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6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Major!$J$2:$J$16</c:f>
              <c:numCache>
                <c:formatCode>0.0</c:formatCode>
                <c:ptCount val="15"/>
                <c:pt idx="0">
                  <c:v>50</c:v>
                </c:pt>
                <c:pt idx="1">
                  <c:v>37.71</c:v>
                </c:pt>
                <c:pt idx="3">
                  <c:v>42.148760330578511</c:v>
                </c:pt>
                <c:pt idx="4">
                  <c:v>35.303738317757009</c:v>
                </c:pt>
                <c:pt idx="5">
                  <c:v>36.585365853658544</c:v>
                </c:pt>
                <c:pt idx="6">
                  <c:v>34.179104477611943</c:v>
                </c:pt>
                <c:pt idx="7">
                  <c:v>37.142857142857139</c:v>
                </c:pt>
                <c:pt idx="9">
                  <c:v>39.516441005802712</c:v>
                </c:pt>
                <c:pt idx="10">
                  <c:v>30.606060606060609</c:v>
                </c:pt>
                <c:pt idx="11">
                  <c:v>31.073943661971828</c:v>
                </c:pt>
                <c:pt idx="12">
                  <c:v>38.46153846153846</c:v>
                </c:pt>
                <c:pt idx="13">
                  <c:v>39.230769230769226</c:v>
                </c:pt>
                <c:pt idx="14">
                  <c:v>37.819253438113947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Major!$I$2:$I$16</c15:f>
                <c15:dlblRangeCache>
                  <c:ptCount val="15"/>
                  <c:pt idx="0">
                    <c:v>Social sciences</c:v>
                  </c:pt>
                  <c:pt idx="1">
                    <c:v>12.3</c:v>
                  </c:pt>
                  <c:pt idx="3">
                    <c:v>7.9</c:v>
                  </c:pt>
                  <c:pt idx="4">
                    <c:v>14.7</c:v>
                  </c:pt>
                  <c:pt idx="5">
                    <c:v>13.4</c:v>
                  </c:pt>
                  <c:pt idx="6">
                    <c:v>15.8</c:v>
                  </c:pt>
                  <c:pt idx="7">
                    <c:v>12.9</c:v>
                  </c:pt>
                  <c:pt idx="9">
                    <c:v>10.5</c:v>
                  </c:pt>
                  <c:pt idx="10">
                    <c:v>19.4</c:v>
                  </c:pt>
                  <c:pt idx="11">
                    <c:v>18.9</c:v>
                  </c:pt>
                  <c:pt idx="12">
                    <c:v>11.5</c:v>
                  </c:pt>
                  <c:pt idx="13">
                    <c:v>10.8</c:v>
                  </c:pt>
                  <c:pt idx="14">
                    <c:v>12.2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87-78F8-0E46-ADF3-4247F535BE20}"/>
            </c:ext>
          </c:extLst>
        </c:ser>
        <c:ser>
          <c:idx val="8"/>
          <c:order val="8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Major!$K$2:$K$16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11.11</c:v>
                </c:pt>
                <c:pt idx="3">
                  <c:v>8.9030803906836962</c:v>
                </c:pt>
                <c:pt idx="4">
                  <c:v>11.16822429906542</c:v>
                </c:pt>
                <c:pt idx="5">
                  <c:v>28.04878048780488</c:v>
                </c:pt>
                <c:pt idx="6">
                  <c:v>26.567164179104481</c:v>
                </c:pt>
                <c:pt idx="7">
                  <c:v>17.857142857142861</c:v>
                </c:pt>
                <c:pt idx="9">
                  <c:v>7.7949709864603474</c:v>
                </c:pt>
                <c:pt idx="10">
                  <c:v>20.303030303030301</c:v>
                </c:pt>
                <c:pt idx="11">
                  <c:v>18.39788732394366</c:v>
                </c:pt>
                <c:pt idx="12">
                  <c:v>23.626373626373621</c:v>
                </c:pt>
                <c:pt idx="13">
                  <c:v>25.38461538461538</c:v>
                </c:pt>
                <c:pt idx="14">
                  <c:v>16.895874263261291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89-78F8-0E46-ADF3-4247F535BE20}"/>
            </c:ext>
          </c:extLst>
        </c:ser>
        <c:ser>
          <c:idx val="9"/>
          <c:order val="9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9.0191196448206577E-3"/>
                  <c:y val="-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624BC94-311A-2A44-9768-2F1433D4CCC4}" type="CELLRANGE">
                      <a:rPr lang="en-US" sz="2000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8305940652727821E-2"/>
                      <c:h val="0.10058144635312669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8B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67F2EC9-B6B0-B746-9F3E-4296A9DCEDD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C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D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0CBC8C5-81B7-4E41-92D9-8E3F08C7732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E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01B914C-0CD6-3244-B8C7-92C1379C99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8F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2257DD1B-7566-4546-B409-B4569A75FF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0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9687B3E-065A-9D41-8505-E18514B05E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1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7AB8DAEE-BF53-114B-B220-755E703131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2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3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6CD357A-5D9D-EC4E-8C21-313080541A7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4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3AAD0E4-8AFD-D244-A42B-170E58D5C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5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AC64C0D-CEA8-4247-804E-9FA1D0A123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6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5432D37-BC8B-8742-A03F-D071307567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7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4120B4C7-3408-B74A-8147-ACE2FEC703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8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E4F0B188-CCE5-5241-8502-3CAB9B0C3C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9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Major!$L$2:$L$16</c:f>
              <c:numCache>
                <c:formatCode>0.0</c:formatCode>
                <c:ptCount val="15"/>
                <c:pt idx="0">
                  <c:v>50</c:v>
                </c:pt>
                <c:pt idx="1">
                  <c:v>38.89</c:v>
                </c:pt>
                <c:pt idx="3">
                  <c:v>41.096919609316302</c:v>
                </c:pt>
                <c:pt idx="4">
                  <c:v>38.831775700934578</c:v>
                </c:pt>
                <c:pt idx="5">
                  <c:v>21.95121951219512</c:v>
                </c:pt>
                <c:pt idx="6">
                  <c:v>23.432835820895519</c:v>
                </c:pt>
                <c:pt idx="7">
                  <c:v>32.142857142857139</c:v>
                </c:pt>
                <c:pt idx="9">
                  <c:v>42.205029013539651</c:v>
                </c:pt>
                <c:pt idx="10">
                  <c:v>29.696969696969699</c:v>
                </c:pt>
                <c:pt idx="11">
                  <c:v>31.60211267605634</c:v>
                </c:pt>
                <c:pt idx="12">
                  <c:v>26.373626373626379</c:v>
                </c:pt>
                <c:pt idx="13">
                  <c:v>24.61538461538462</c:v>
                </c:pt>
                <c:pt idx="14">
                  <c:v>33.104125736738709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Major!$K$2:$K$16</c15:f>
                <c15:dlblRangeCache>
                  <c:ptCount val="15"/>
                  <c:pt idx="0">
                    <c:v>Humanities and arts</c:v>
                  </c:pt>
                  <c:pt idx="1">
                    <c:v>11.1</c:v>
                  </c:pt>
                  <c:pt idx="3">
                    <c:v>8.9</c:v>
                  </c:pt>
                  <c:pt idx="4">
                    <c:v>11.2</c:v>
                  </c:pt>
                  <c:pt idx="5">
                    <c:v>28.0</c:v>
                  </c:pt>
                  <c:pt idx="6">
                    <c:v>26.6</c:v>
                  </c:pt>
                  <c:pt idx="7">
                    <c:v>17.9</c:v>
                  </c:pt>
                  <c:pt idx="9">
                    <c:v>7.8</c:v>
                  </c:pt>
                  <c:pt idx="10">
                    <c:v>20.3</c:v>
                  </c:pt>
                  <c:pt idx="11">
                    <c:v>18.4</c:v>
                  </c:pt>
                  <c:pt idx="12">
                    <c:v>23.6</c:v>
                  </c:pt>
                  <c:pt idx="13">
                    <c:v>25.4</c:v>
                  </c:pt>
                  <c:pt idx="14">
                    <c:v>16.9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9A-78F8-0E46-ADF3-4247F535BE20}"/>
            </c:ext>
          </c:extLst>
        </c:ser>
        <c:ser>
          <c:idx val="10"/>
          <c:order val="10"/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Major!$M$2:$M$16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14.97</c:v>
                </c:pt>
                <c:pt idx="3">
                  <c:v>7.9639368895567246</c:v>
                </c:pt>
                <c:pt idx="4">
                  <c:v>19.859813084112151</c:v>
                </c:pt>
                <c:pt idx="5">
                  <c:v>4.8780487804878048</c:v>
                </c:pt>
                <c:pt idx="6">
                  <c:v>8.0597014925373127</c:v>
                </c:pt>
                <c:pt idx="7">
                  <c:v>9.2857142857142865</c:v>
                </c:pt>
                <c:pt idx="9">
                  <c:v>16.034816247582199</c:v>
                </c:pt>
                <c:pt idx="10">
                  <c:v>10.90909090909091</c:v>
                </c:pt>
                <c:pt idx="11">
                  <c:v>12.05985915492958</c:v>
                </c:pt>
                <c:pt idx="12">
                  <c:v>7.6923076923076934</c:v>
                </c:pt>
                <c:pt idx="13">
                  <c:v>10</c:v>
                </c:pt>
                <c:pt idx="14">
                  <c:v>14.34184675834971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9C-78F8-0E46-ADF3-4247F535BE20}"/>
            </c:ext>
          </c:extLst>
        </c:ser>
        <c:ser>
          <c:idx val="11"/>
          <c:order val="11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9742887742314943E-3"/>
                  <c:y val="4.635984310305242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1C37F6B-D5D4-ED4F-85AD-C4034DB92D1C}" type="CELLRANGE">
                      <a:rPr lang="en-US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3969915967493073E-2"/>
                      <c:h val="8.0995244592081669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9E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6A1495B-68CD-944C-8891-C4FD91A86E1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9F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0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190EE5E-83F6-0546-AAE3-D4339F7BE2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1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B9B5CA2-CC65-9C40-B1CC-DD55B31822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2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013C277-18B9-ED43-8E26-834B0D92DEA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3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2638E97-7D62-2A4F-BCA0-31B063446B9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4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3CE6BD4-C179-0D4E-9B5D-84BEF70A22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5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6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3DC2387-7EC9-0A4D-BA7F-8364DAD2772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7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9CC7DC6-00A3-8943-83F9-7EC6CA72B33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8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32F078F-8B72-EA47-A3CB-A34C5C39F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9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807110C-491A-2042-855F-F08E68FCA60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A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99EB4C2-E0DD-D04B-AE09-17A69DA3E4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B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535CE9F-3E4D-6048-8260-53CAAF3DAF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AC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Major!$N$2:$N$16</c:f>
              <c:numCache>
                <c:formatCode>0.0</c:formatCode>
                <c:ptCount val="15"/>
                <c:pt idx="0">
                  <c:v>50</c:v>
                </c:pt>
                <c:pt idx="1">
                  <c:v>35.03</c:v>
                </c:pt>
                <c:pt idx="3">
                  <c:v>42.036063110443273</c:v>
                </c:pt>
                <c:pt idx="4">
                  <c:v>30.140186915887849</c:v>
                </c:pt>
                <c:pt idx="5">
                  <c:v>45.121951219512198</c:v>
                </c:pt>
                <c:pt idx="6">
                  <c:v>41.940298507462686</c:v>
                </c:pt>
                <c:pt idx="7">
                  <c:v>40.714285714285715</c:v>
                </c:pt>
                <c:pt idx="9">
                  <c:v>33.965183752417801</c:v>
                </c:pt>
                <c:pt idx="10">
                  <c:v>39.090909090909093</c:v>
                </c:pt>
                <c:pt idx="11">
                  <c:v>37.940140845070417</c:v>
                </c:pt>
                <c:pt idx="12">
                  <c:v>42.307692307692307</c:v>
                </c:pt>
                <c:pt idx="13">
                  <c:v>40</c:v>
                </c:pt>
                <c:pt idx="14">
                  <c:v>35.65815324165029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Major!$M$2:$M$16</c15:f>
                <c15:dlblRangeCache>
                  <c:ptCount val="15"/>
                  <c:pt idx="0">
                    <c:v>Health sciences</c:v>
                  </c:pt>
                  <c:pt idx="1">
                    <c:v>15.0</c:v>
                  </c:pt>
                  <c:pt idx="3">
                    <c:v>8.0</c:v>
                  </c:pt>
                  <c:pt idx="4">
                    <c:v>19.9</c:v>
                  </c:pt>
                  <c:pt idx="5">
                    <c:v>4.9</c:v>
                  </c:pt>
                  <c:pt idx="6">
                    <c:v>8.1</c:v>
                  </c:pt>
                  <c:pt idx="7">
                    <c:v>9.3</c:v>
                  </c:pt>
                  <c:pt idx="9">
                    <c:v>16.0</c:v>
                  </c:pt>
                  <c:pt idx="10">
                    <c:v>10.9</c:v>
                  </c:pt>
                  <c:pt idx="11">
                    <c:v>12.1</c:v>
                  </c:pt>
                  <c:pt idx="12">
                    <c:v>7.7</c:v>
                  </c:pt>
                  <c:pt idx="13">
                    <c:v>10.0</c:v>
                  </c:pt>
                  <c:pt idx="14">
                    <c:v>14.3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AD-78F8-0E46-ADF3-4247F535BE20}"/>
            </c:ext>
          </c:extLst>
        </c:ser>
        <c:ser>
          <c:idx val="12"/>
          <c:order val="12"/>
          <c:spPr>
            <a:solidFill>
              <a:srgbClr val="76D6FF"/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Major!$O$2:$O$16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3.65</c:v>
                </c:pt>
                <c:pt idx="3">
                  <c:v>1.3523666416228399</c:v>
                </c:pt>
                <c:pt idx="4">
                  <c:v>4.9065420560747661</c:v>
                </c:pt>
                <c:pt idx="5">
                  <c:v>3.6585365853658529</c:v>
                </c:pt>
                <c:pt idx="6">
                  <c:v>2.6865671641791038</c:v>
                </c:pt>
                <c:pt idx="7">
                  <c:v>2.8571428571428572</c:v>
                </c:pt>
                <c:pt idx="9">
                  <c:v>3.4816247582205029</c:v>
                </c:pt>
                <c:pt idx="10">
                  <c:v>4.8484848484848486</c:v>
                </c:pt>
                <c:pt idx="11">
                  <c:v>3.433098591549296</c:v>
                </c:pt>
                <c:pt idx="12">
                  <c:v>2.7472527472527468</c:v>
                </c:pt>
                <c:pt idx="13">
                  <c:v>3.0769230769230771</c:v>
                </c:pt>
                <c:pt idx="14">
                  <c:v>2.7504911591355601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AF-78F8-0E46-ADF3-4247F535BE20}"/>
            </c:ext>
          </c:extLst>
        </c:ser>
        <c:ser>
          <c:idx val="13"/>
          <c:order val="1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1693401354373956E-2"/>
                  <c:y val="1.2362138129129103E-2"/>
                </c:manualLayout>
              </c:layout>
              <c:tx>
                <c:rich>
                  <a:bodyPr/>
                  <a:lstStyle/>
                  <a:p>
                    <a:fld id="{C56E878D-ADF8-204B-A1F7-026B05553E0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B1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3176369-9EB0-EC45-B466-ECB99B313B2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2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3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5CE7DA3-795B-6E45-AC5C-F58C0E11A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4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D2CBFB-3DA7-CE40-A629-4B7E9B375F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5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E70A597-15F5-3840-8EC5-64BC01D15A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6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E46B94C-EC78-3841-9E50-64BD84997E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7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B8899C3-5A60-4A43-943D-550003693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8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9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B34CF66-BFD8-6B43-8740-6F546D621D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A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32E6594-6CB9-8341-9DC1-5359F3D7EA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B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78E2B46-63BC-044C-A374-9A7C47931FB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C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8C376F5-9C8B-044B-8AD3-DCD7E9DF482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D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07C91CC-CAF1-B24D-A23B-DC800642F4E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E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DC2B8DC-9CB0-C44C-96ED-520D7FC2F7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BF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Major!$P$2:$P$16</c:f>
              <c:numCache>
                <c:formatCode>0.0</c:formatCode>
                <c:ptCount val="15"/>
                <c:pt idx="0">
                  <c:v>50</c:v>
                </c:pt>
                <c:pt idx="1">
                  <c:v>46.35</c:v>
                </c:pt>
                <c:pt idx="3">
                  <c:v>48.647633358377163</c:v>
                </c:pt>
                <c:pt idx="4">
                  <c:v>45.09345794392523</c:v>
                </c:pt>
                <c:pt idx="5">
                  <c:v>46.341463414634148</c:v>
                </c:pt>
                <c:pt idx="6">
                  <c:v>47.313432835820898</c:v>
                </c:pt>
                <c:pt idx="7">
                  <c:v>47.142857142857146</c:v>
                </c:pt>
                <c:pt idx="9">
                  <c:v>46.518375241779495</c:v>
                </c:pt>
                <c:pt idx="10">
                  <c:v>45.151515151515149</c:v>
                </c:pt>
                <c:pt idx="11">
                  <c:v>46.566901408450704</c:v>
                </c:pt>
                <c:pt idx="12">
                  <c:v>47.252747252747255</c:v>
                </c:pt>
                <c:pt idx="13">
                  <c:v>46.92307692307692</c:v>
                </c:pt>
                <c:pt idx="14">
                  <c:v>47.249508840864436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Major!$O$2:$O$16</c15:f>
                <c15:dlblRangeCache>
                  <c:ptCount val="15"/>
                  <c:pt idx="0">
                    <c:v>Education</c:v>
                  </c:pt>
                  <c:pt idx="1">
                    <c:v>3.7</c:v>
                  </c:pt>
                  <c:pt idx="3">
                    <c:v>1.4</c:v>
                  </c:pt>
                  <c:pt idx="4">
                    <c:v>4.9</c:v>
                  </c:pt>
                  <c:pt idx="5">
                    <c:v>3.7</c:v>
                  </c:pt>
                  <c:pt idx="6">
                    <c:v>2.7</c:v>
                  </c:pt>
                  <c:pt idx="7">
                    <c:v>2.9</c:v>
                  </c:pt>
                  <c:pt idx="9">
                    <c:v>3.5</c:v>
                  </c:pt>
                  <c:pt idx="10">
                    <c:v>4.8</c:v>
                  </c:pt>
                  <c:pt idx="11">
                    <c:v>3.4</c:v>
                  </c:pt>
                  <c:pt idx="12">
                    <c:v>2.7</c:v>
                  </c:pt>
                  <c:pt idx="13">
                    <c:v>3.1</c:v>
                  </c:pt>
                  <c:pt idx="14">
                    <c:v>2.8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C0-78F8-0E46-ADF3-4247F535BE20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Major!$Q$2:$Q$16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3.3</c:v>
                </c:pt>
                <c:pt idx="3">
                  <c:v>6.9496619083395936</c:v>
                </c:pt>
                <c:pt idx="4">
                  <c:v>1.238317757009346</c:v>
                </c:pt>
                <c:pt idx="5">
                  <c:v>4.8780487804878048</c:v>
                </c:pt>
                <c:pt idx="6">
                  <c:v>2.9850746268656709</c:v>
                </c:pt>
                <c:pt idx="7">
                  <c:v>2.1428571428571428</c:v>
                </c:pt>
                <c:pt idx="9">
                  <c:v>4.042553191489362</c:v>
                </c:pt>
                <c:pt idx="10">
                  <c:v>2.4242424242424239</c:v>
                </c:pt>
                <c:pt idx="11">
                  <c:v>1.672535211267606</c:v>
                </c:pt>
                <c:pt idx="12">
                  <c:v>3.8461538461538458</c:v>
                </c:pt>
                <c:pt idx="13">
                  <c:v>4.6153846153846159</c:v>
                </c:pt>
                <c:pt idx="14">
                  <c:v>1.178781925343811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C2-78F8-0E46-ADF3-4247F535BE20}"/>
            </c:ext>
          </c:extLst>
        </c:ser>
        <c:ser>
          <c:idx val="15"/>
          <c:order val="15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68677246575052E-3"/>
                  <c:y val="1.158956533335248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3FA5F80-835B-964D-A4DA-A53CAC1F86E9}" type="CELLRANGE">
                      <a:rPr lang="en-US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3150000300600222E-2"/>
                      <c:h val="4.0818295672412096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C4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71D92DD-CDF5-B748-BB18-1EA069CC6F8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5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6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32613FD-6252-6B4B-A445-A7FC43B28D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7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F1A73AD-0E8E-BF49-8F39-DDDBAEE674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8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B94286A-8B47-2C43-9D2E-1E092EBACA1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9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6C5E7EB-B9F8-BE4E-B79E-6F0684703E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A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B06A49A-6C81-594C-A5BB-D1ADD00060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B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C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BB4C42E-8E50-434B-97F6-F8ACB6349D6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D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4E25DF2-A5F2-AE4D-B61E-C450A09A66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E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AA923E9-2C3E-F246-B413-FE8F640E34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CF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7499F2F-3077-BF4A-9A09-E2A178FADC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0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9C4A828-97F8-9C44-AA1A-50E7CD43CD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1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33BEDF0-B378-1D43-93CE-A1BD66CA35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2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Major!$R$2:$R$16</c:f>
              <c:numCache>
                <c:formatCode>0.0</c:formatCode>
                <c:ptCount val="15"/>
                <c:pt idx="0">
                  <c:v>50</c:v>
                </c:pt>
                <c:pt idx="1">
                  <c:v>46.7</c:v>
                </c:pt>
                <c:pt idx="3">
                  <c:v>43.050338091660407</c:v>
                </c:pt>
                <c:pt idx="4">
                  <c:v>48.761682242990652</c:v>
                </c:pt>
                <c:pt idx="5">
                  <c:v>45.121951219512198</c:v>
                </c:pt>
                <c:pt idx="6">
                  <c:v>47.014925373134332</c:v>
                </c:pt>
                <c:pt idx="7">
                  <c:v>47.857142857142854</c:v>
                </c:pt>
                <c:pt idx="9">
                  <c:v>45.957446808510639</c:v>
                </c:pt>
                <c:pt idx="10">
                  <c:v>47.575757575757578</c:v>
                </c:pt>
                <c:pt idx="11">
                  <c:v>48.327464788732392</c:v>
                </c:pt>
                <c:pt idx="12">
                  <c:v>46.153846153846153</c:v>
                </c:pt>
                <c:pt idx="13">
                  <c:v>45.384615384615387</c:v>
                </c:pt>
                <c:pt idx="14">
                  <c:v>48.821218074656187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Major!$Q$2:$Q$16</c15:f>
                <c15:dlblRangeCache>
                  <c:ptCount val="15"/>
                  <c:pt idx="0">
                    <c:v>Applied sciences</c:v>
                  </c:pt>
                  <c:pt idx="1">
                    <c:v>3.3</c:v>
                  </c:pt>
                  <c:pt idx="3">
                    <c:v>6.9</c:v>
                  </c:pt>
                  <c:pt idx="4">
                    <c:v>1.2</c:v>
                  </c:pt>
                  <c:pt idx="5">
                    <c:v>4.9</c:v>
                  </c:pt>
                  <c:pt idx="6">
                    <c:v>3.0</c:v>
                  </c:pt>
                  <c:pt idx="7">
                    <c:v>2.1</c:v>
                  </c:pt>
                  <c:pt idx="9">
                    <c:v>4.0</c:v>
                  </c:pt>
                  <c:pt idx="10">
                    <c:v>2.4</c:v>
                  </c:pt>
                  <c:pt idx="11">
                    <c:v>1.7</c:v>
                  </c:pt>
                  <c:pt idx="12">
                    <c:v>3.8</c:v>
                  </c:pt>
                  <c:pt idx="13">
                    <c:v>4.6</c:v>
                  </c:pt>
                  <c:pt idx="14">
                    <c:v>1.2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D3-78F8-0E46-ADF3-4247F535BE20}"/>
            </c:ext>
          </c:extLst>
        </c:ser>
        <c:ser>
          <c:idx val="16"/>
          <c:order val="16"/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Major!$S$2:$S$16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4.76</c:v>
                </c:pt>
                <c:pt idx="3">
                  <c:v>4.3200601051840728</c:v>
                </c:pt>
                <c:pt idx="4">
                  <c:v>5.2803738317757007</c:v>
                </c:pt>
                <c:pt idx="5">
                  <c:v>2.4390243902439019</c:v>
                </c:pt>
                <c:pt idx="6">
                  <c:v>3.5820895522388061</c:v>
                </c:pt>
                <c:pt idx="7">
                  <c:v>3.5714285714285712</c:v>
                </c:pt>
                <c:pt idx="9">
                  <c:v>5.2030947775628622</c:v>
                </c:pt>
                <c:pt idx="10">
                  <c:v>3.939393939393939</c:v>
                </c:pt>
                <c:pt idx="11">
                  <c:v>4.225352112676056</c:v>
                </c:pt>
                <c:pt idx="12">
                  <c:v>2.7472527472527468</c:v>
                </c:pt>
                <c:pt idx="13">
                  <c:v>5.384615384615385</c:v>
                </c:pt>
                <c:pt idx="14">
                  <c:v>2.946954813359528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D5-78F8-0E46-ADF3-4247F535BE20}"/>
            </c:ext>
          </c:extLst>
        </c:ser>
        <c:ser>
          <c:idx val="17"/>
          <c:order val="17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3.4124661269280612E-3"/>
                  <c:y val="3.8631681653528448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B1A21F2-3503-8542-B157-5FB98A8624C9}" type="CELLRANGE">
                      <a:rPr lang="en-US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2677556062596987E-2"/>
                      <c:h val="9.7993184519634194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D7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3DAB75E-B196-934F-83AA-99F078EDB6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8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9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2279A34-C38B-1145-B335-B1789DBA90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A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7209864-1DCD-3E46-9083-FE211F62995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B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239D74A-8A55-CA4D-91D4-A924878DA3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C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017CCC5-1A66-864F-954A-1C5E3BC100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D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EC59BED-B3F0-5C44-B027-FBF52E6F4D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E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DF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C3DBECA-A138-D949-9F9D-8737E84ED9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0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340F32F-9547-A04F-AB72-5376CFDFE0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1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DED7FF0-DD35-A240-BE58-4EAF4F77E20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2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41718AF-A70C-AB49-9C39-6212FD98FE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3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3BED254-0086-8141-ACCE-AFA2AE1E144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4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5BD64D8-7AB1-E44E-8AF2-EA2146DBB1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5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Major!$T$2:$T$16</c:f>
              <c:numCache>
                <c:formatCode>0.0</c:formatCode>
                <c:ptCount val="15"/>
                <c:pt idx="0">
                  <c:v>50</c:v>
                </c:pt>
                <c:pt idx="1">
                  <c:v>45.24</c:v>
                </c:pt>
                <c:pt idx="3">
                  <c:v>45.679939894815931</c:v>
                </c:pt>
                <c:pt idx="4">
                  <c:v>44.719626168224302</c:v>
                </c:pt>
                <c:pt idx="5">
                  <c:v>47.560975609756099</c:v>
                </c:pt>
                <c:pt idx="6">
                  <c:v>46.417910447761194</c:v>
                </c:pt>
                <c:pt idx="7">
                  <c:v>46.428571428571431</c:v>
                </c:pt>
                <c:pt idx="9">
                  <c:v>44.79690522243714</c:v>
                </c:pt>
                <c:pt idx="10">
                  <c:v>46.060606060606062</c:v>
                </c:pt>
                <c:pt idx="11">
                  <c:v>45.774647887323944</c:v>
                </c:pt>
                <c:pt idx="12">
                  <c:v>47.252747252747255</c:v>
                </c:pt>
                <c:pt idx="13">
                  <c:v>44.615384615384613</c:v>
                </c:pt>
                <c:pt idx="14">
                  <c:v>47.053045186640475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Major!$S$2:$S$16</c15:f>
                <c15:dlblRangeCache>
                  <c:ptCount val="15"/>
                  <c:pt idx="0">
                    <c:v>Public service</c:v>
                  </c:pt>
                  <c:pt idx="1">
                    <c:v>4.8</c:v>
                  </c:pt>
                  <c:pt idx="3">
                    <c:v>4.3</c:v>
                  </c:pt>
                  <c:pt idx="4">
                    <c:v>5.3</c:v>
                  </c:pt>
                  <c:pt idx="5">
                    <c:v>2.4</c:v>
                  </c:pt>
                  <c:pt idx="6">
                    <c:v>3.6</c:v>
                  </c:pt>
                  <c:pt idx="7">
                    <c:v>3.6</c:v>
                  </c:pt>
                  <c:pt idx="9">
                    <c:v>5.2</c:v>
                  </c:pt>
                  <c:pt idx="10">
                    <c:v>3.9</c:v>
                  </c:pt>
                  <c:pt idx="11">
                    <c:v>4.2</c:v>
                  </c:pt>
                  <c:pt idx="12">
                    <c:v>2.7</c:v>
                  </c:pt>
                  <c:pt idx="13">
                    <c:v>5.4</c:v>
                  </c:pt>
                  <c:pt idx="14">
                    <c:v>2.9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E6-78F8-0E46-ADF3-4247F535BE20}"/>
            </c:ext>
          </c:extLst>
        </c:ser>
        <c:ser>
          <c:idx val="18"/>
          <c:order val="18"/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Major!$U$2:$U$16</c:f>
              <c:numCache>
                <c:formatCode>0.0</c:formatCode>
                <c:ptCount val="15"/>
                <c:pt idx="0" formatCode="General">
                  <c:v>0</c:v>
                </c:pt>
                <c:pt idx="1">
                  <c:v>7.91</c:v>
                </c:pt>
                <c:pt idx="3">
                  <c:v>8.4147257700976716</c:v>
                </c:pt>
                <c:pt idx="4">
                  <c:v>7.1028037383177578</c:v>
                </c:pt>
                <c:pt idx="5">
                  <c:v>3.6585365853658529</c:v>
                </c:pt>
                <c:pt idx="6">
                  <c:v>6.2686567164179099</c:v>
                </c:pt>
                <c:pt idx="7">
                  <c:v>8.5714285714285712</c:v>
                </c:pt>
                <c:pt idx="9">
                  <c:v>8.4332688588007745</c:v>
                </c:pt>
                <c:pt idx="10">
                  <c:v>3.6363636363636358</c:v>
                </c:pt>
                <c:pt idx="11">
                  <c:v>4.48943661971831</c:v>
                </c:pt>
                <c:pt idx="12">
                  <c:v>6.0439560439560438</c:v>
                </c:pt>
                <c:pt idx="13">
                  <c:v>6.1538461538461542</c:v>
                </c:pt>
                <c:pt idx="14">
                  <c:v>9.0373280943025556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E8-78F8-0E46-ADF3-4247F535BE20}"/>
            </c:ext>
          </c:extLst>
        </c:ser>
        <c:ser>
          <c:idx val="19"/>
          <c:order val="19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9475184919915728E-16"/>
                  <c:y val="1.081687086298796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09CE67D-F1C3-6946-AD2D-726EE0968D76}" type="CELLRANGE">
                      <a:rPr lang="en-US" sz="2000"/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1EA-78F8-0E46-ADF3-4247F535BE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0A9C8CC-06E6-2B49-A732-C6F5B97FD5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B-78F8-0E46-ADF3-4247F535BE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C-78F8-0E46-ADF3-4247F535BE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8892675-BCEB-8F48-B9B2-98566A73EB8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D-78F8-0E46-ADF3-4247F535BE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A7D4C71-D638-A44C-82EE-056EE7E43A2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E-78F8-0E46-ADF3-4247F535BE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1129846-D7FA-404B-B285-BD4B43EE17B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EF-78F8-0E46-ADF3-4247F535BE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CF664DA-D537-AA46-9398-DC7DDE8243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0-78F8-0E46-ADF3-4247F535BE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B2F5C59-7D2E-C448-B82B-64D4883430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1-78F8-0E46-ADF3-4247F535BE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2-78F8-0E46-ADF3-4247F535BE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52F0F1F-C56B-CC4C-B997-FCEBC4E397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3-78F8-0E46-ADF3-4247F535BE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00F5611-6E73-244B-94BD-06751EF0A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4-78F8-0E46-ADF3-4247F535BE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D6A1B00-F3CD-E64B-85B2-74BEE4B67A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5-78F8-0E46-ADF3-4247F535BE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D67BD26-E1CF-9B4D-A587-3D9476AEC2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6-78F8-0E46-ADF3-4247F535BE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6BD9A51-E315-D14A-B621-263DC498BC0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7-78F8-0E46-ADF3-4247F535BE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304EEAE-1032-4E41-AEBB-FDF98AF7B9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F8-78F8-0E46-ADF3-4247F535BE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Major!$B$2:$B$16</c:f>
              <c:strCache>
                <c:ptCount val="15"/>
                <c:pt idx="1">
                  <c:v>All respondents</c:v>
                </c:pt>
                <c:pt idx="3">
                  <c:v>Cisgender man</c:v>
                </c:pt>
                <c:pt idx="4">
                  <c:v>Cisgender woman</c:v>
                </c:pt>
                <c:pt idx="5">
                  <c:v>Transgender</c:v>
                </c:pt>
                <c:pt idx="6">
                  <c:v>Nonbinary/gender diverse/questioning</c:v>
                </c:pt>
                <c:pt idx="7">
                  <c:v>Prefer not to say</c:v>
                </c:pt>
                <c:pt idx="9">
                  <c:v>Straight/heterosexual</c:v>
                </c:pt>
                <c:pt idx="10">
                  <c:v>Gay or lesbian</c:v>
                </c:pt>
                <c:pt idx="11">
                  <c:v>Bisexual/pansexual/omnisexual</c:v>
                </c:pt>
                <c:pt idx="12">
                  <c:v>Asexual/aromantic/demisexual</c:v>
                </c:pt>
                <c:pt idx="13">
                  <c:v>Other/queer/questioning</c:v>
                </c:pt>
                <c:pt idx="14">
                  <c:v>Prefer not to say</c:v>
                </c:pt>
              </c:strCache>
            </c:strRef>
          </c:cat>
          <c:val>
            <c:numRef>
              <c:f>Major!$V$2:$V$16</c:f>
              <c:numCache>
                <c:formatCode>0.0</c:formatCode>
                <c:ptCount val="15"/>
                <c:pt idx="0">
                  <c:v>50</c:v>
                </c:pt>
                <c:pt idx="1">
                  <c:v>42.09</c:v>
                </c:pt>
                <c:pt idx="3">
                  <c:v>41.585274229902325</c:v>
                </c:pt>
                <c:pt idx="4">
                  <c:v>42.89719626168224</c:v>
                </c:pt>
                <c:pt idx="5">
                  <c:v>46.341463414634148</c:v>
                </c:pt>
                <c:pt idx="6">
                  <c:v>43.731343283582092</c:v>
                </c:pt>
                <c:pt idx="7">
                  <c:v>41.428571428571431</c:v>
                </c:pt>
                <c:pt idx="9">
                  <c:v>41.566731141199227</c:v>
                </c:pt>
                <c:pt idx="10">
                  <c:v>46.363636363636367</c:v>
                </c:pt>
                <c:pt idx="11">
                  <c:v>45.510563380281688</c:v>
                </c:pt>
                <c:pt idx="12">
                  <c:v>43.956043956043956</c:v>
                </c:pt>
                <c:pt idx="13">
                  <c:v>43.846153846153847</c:v>
                </c:pt>
                <c:pt idx="14">
                  <c:v>40.962671905697448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Major!$U$2:$U$16</c15:f>
                <c15:dlblRangeCache>
                  <c:ptCount val="15"/>
                  <c:pt idx="0">
                    <c:v>Undecided</c:v>
                  </c:pt>
                  <c:pt idx="1">
                    <c:v>7.9</c:v>
                  </c:pt>
                  <c:pt idx="3">
                    <c:v>8.4</c:v>
                  </c:pt>
                  <c:pt idx="4">
                    <c:v>7.1</c:v>
                  </c:pt>
                  <c:pt idx="5">
                    <c:v>3.7</c:v>
                  </c:pt>
                  <c:pt idx="6">
                    <c:v>6.3</c:v>
                  </c:pt>
                  <c:pt idx="7">
                    <c:v>8.6</c:v>
                  </c:pt>
                  <c:pt idx="9">
                    <c:v>8.4</c:v>
                  </c:pt>
                  <c:pt idx="10">
                    <c:v>3.6</c:v>
                  </c:pt>
                  <c:pt idx="11">
                    <c:v>4.5</c:v>
                  </c:pt>
                  <c:pt idx="12">
                    <c:v>6.0</c:v>
                  </c:pt>
                  <c:pt idx="13">
                    <c:v>6.2</c:v>
                  </c:pt>
                  <c:pt idx="14">
                    <c:v>9.0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F9-78F8-0E46-ADF3-4247F535B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axId val="495963968"/>
        <c:axId val="495965680"/>
      </c:barChart>
      <c:catAx>
        <c:axId val="4959639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965680"/>
        <c:crosses val="autoZero"/>
        <c:auto val="1"/>
        <c:lblAlgn val="ctr"/>
        <c:lblOffset val="100"/>
        <c:noMultiLvlLbl val="0"/>
      </c:catAx>
      <c:valAx>
        <c:axId val="495965680"/>
        <c:scaling>
          <c:orientation val="minMax"/>
          <c:max val="475"/>
        </c:scaling>
        <c:delete val="1"/>
        <c:axPos val="t"/>
        <c:numFmt formatCode="General" sourceLinked="1"/>
        <c:majorTickMark val="out"/>
        <c:minorTickMark val="none"/>
        <c:tickLblPos val="nextTo"/>
        <c:crossAx val="495963968"/>
        <c:crosses val="autoZero"/>
        <c:crossBetween val="between"/>
        <c:minorUnit val="25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What is the highest degree you hope to complete?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'Highest Degree'!$B$2</c:f>
              <c:strCache>
                <c:ptCount val="1"/>
                <c:pt idx="0">
                  <c:v>Get a certificate in a vocational or technical field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'Highest Degree'!$A$3:$A$16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'Highest Degree'!$B$3:$B$16</c:f>
              <c:numCache>
                <c:formatCode>0.00</c:formatCode>
                <c:ptCount val="14"/>
                <c:pt idx="0" formatCode="General">
                  <c:v>3.48</c:v>
                </c:pt>
                <c:pt idx="2">
                  <c:v>5.4368203974503189</c:v>
                </c:pt>
                <c:pt idx="3">
                  <c:v>2.2227421619092178</c:v>
                </c:pt>
                <c:pt idx="4">
                  <c:v>1.219512195121951</c:v>
                </c:pt>
                <c:pt idx="5">
                  <c:v>1.796407185628742</c:v>
                </c:pt>
                <c:pt idx="6">
                  <c:v>2.8571428571428572</c:v>
                </c:pt>
                <c:pt idx="8">
                  <c:v>3.7681159420289858</c:v>
                </c:pt>
                <c:pt idx="9">
                  <c:v>2.735562310030395</c:v>
                </c:pt>
                <c:pt idx="10">
                  <c:v>2.204585537918871</c:v>
                </c:pt>
                <c:pt idx="11">
                  <c:v>1.104972375690608</c:v>
                </c:pt>
                <c:pt idx="12">
                  <c:v>2.290076335877862</c:v>
                </c:pt>
                <c:pt idx="13">
                  <c:v>2.569169960474309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89-CB4B-9FFD-8FEFEE64E33F}"/>
            </c:ext>
          </c:extLst>
        </c:ser>
        <c:ser>
          <c:idx val="1"/>
          <c:order val="1"/>
          <c:tx>
            <c:strRef>
              <c:f>'Highest Degree'!$C$2</c:f>
              <c:strCache>
                <c:ptCount val="1"/>
                <c:pt idx="0">
                  <c:v>Associate degree  (AA/AS/ADT)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'Highest Degree'!$A$3:$A$16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'Highest Degree'!$C$3:$C$16</c:f>
              <c:numCache>
                <c:formatCode>0.00</c:formatCode>
                <c:ptCount val="14"/>
                <c:pt idx="0" formatCode="General">
                  <c:v>6.61</c:v>
                </c:pt>
                <c:pt idx="2">
                  <c:v>7.1991001124859402</c:v>
                </c:pt>
                <c:pt idx="3">
                  <c:v>6.3406644829199816</c:v>
                </c:pt>
                <c:pt idx="4">
                  <c:v>3.6585365853658529</c:v>
                </c:pt>
                <c:pt idx="5">
                  <c:v>4.1916167664670656</c:v>
                </c:pt>
                <c:pt idx="6">
                  <c:v>6.4285714285714279</c:v>
                </c:pt>
                <c:pt idx="8">
                  <c:v>7.2657004830917877</c:v>
                </c:pt>
                <c:pt idx="9">
                  <c:v>3.9513677811550152</c:v>
                </c:pt>
                <c:pt idx="10">
                  <c:v>4.9382716049382713</c:v>
                </c:pt>
                <c:pt idx="11">
                  <c:v>4.4198895027624303</c:v>
                </c:pt>
                <c:pt idx="12">
                  <c:v>3.053435114503817</c:v>
                </c:pt>
                <c:pt idx="13">
                  <c:v>6.1264822134387353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89-CB4B-9FFD-8FEFEE64E33F}"/>
            </c:ext>
          </c:extLst>
        </c:ser>
        <c:ser>
          <c:idx val="2"/>
          <c:order val="2"/>
          <c:tx>
            <c:strRef>
              <c:f>'Highest Degree'!$D$2</c:f>
              <c:strCache>
                <c:ptCount val="1"/>
                <c:pt idx="0">
                  <c:v>Bachelor’s Degree (BA/BS)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'Highest Degree'!$A$3:$A$16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'Highest Degree'!$D$3:$D$16</c:f>
              <c:numCache>
                <c:formatCode>0.00</c:formatCode>
                <c:ptCount val="14"/>
                <c:pt idx="0" formatCode="General">
                  <c:v>35.020000000000003</c:v>
                </c:pt>
                <c:pt idx="2">
                  <c:v>39.48256467941507</c:v>
                </c:pt>
                <c:pt idx="3">
                  <c:v>32.686008423022933</c:v>
                </c:pt>
                <c:pt idx="4">
                  <c:v>36.585365853658537</c:v>
                </c:pt>
                <c:pt idx="5">
                  <c:v>34.730538922155688</c:v>
                </c:pt>
                <c:pt idx="6">
                  <c:v>36.428571428571423</c:v>
                </c:pt>
                <c:pt idx="8">
                  <c:v>37.024154589371982</c:v>
                </c:pt>
                <c:pt idx="9">
                  <c:v>30.091185410334351</c:v>
                </c:pt>
                <c:pt idx="10">
                  <c:v>29.982363315696649</c:v>
                </c:pt>
                <c:pt idx="11">
                  <c:v>31.49171270718232</c:v>
                </c:pt>
                <c:pt idx="12">
                  <c:v>33.587786259541993</c:v>
                </c:pt>
                <c:pt idx="13">
                  <c:v>35.573122529644273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89-CB4B-9FFD-8FEFEE64E33F}"/>
            </c:ext>
          </c:extLst>
        </c:ser>
        <c:ser>
          <c:idx val="3"/>
          <c:order val="3"/>
          <c:tx>
            <c:strRef>
              <c:f>'Highest Degree'!$E$2</c:f>
              <c:strCache>
                <c:ptCount val="1"/>
                <c:pt idx="0">
                  <c:v>Master’s Degree (MA/MS)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'Highest Degree'!$A$3:$A$16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'Highest Degree'!$E$3:$E$16</c:f>
              <c:numCache>
                <c:formatCode>0.00</c:formatCode>
                <c:ptCount val="14"/>
                <c:pt idx="0" formatCode="General">
                  <c:v>32.56</c:v>
                </c:pt>
                <c:pt idx="2">
                  <c:v>31.458567679040119</c:v>
                </c:pt>
                <c:pt idx="3">
                  <c:v>32.569021993448757</c:v>
                </c:pt>
                <c:pt idx="4">
                  <c:v>36.585365853658537</c:v>
                </c:pt>
                <c:pt idx="5">
                  <c:v>31.437125748502989</c:v>
                </c:pt>
                <c:pt idx="6">
                  <c:v>31.428571428571431</c:v>
                </c:pt>
                <c:pt idx="8">
                  <c:v>31.439613526570049</c:v>
                </c:pt>
                <c:pt idx="9">
                  <c:v>36.474164133738597</c:v>
                </c:pt>
                <c:pt idx="10">
                  <c:v>32.275132275132272</c:v>
                </c:pt>
                <c:pt idx="11">
                  <c:v>37.016574585635361</c:v>
                </c:pt>
                <c:pt idx="12">
                  <c:v>35.877862595419849</c:v>
                </c:pt>
                <c:pt idx="13">
                  <c:v>33.596837944664031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89-CB4B-9FFD-8FEFEE64E33F}"/>
            </c:ext>
          </c:extLst>
        </c:ser>
        <c:ser>
          <c:idx val="4"/>
          <c:order val="4"/>
          <c:tx>
            <c:strRef>
              <c:f>'Highest Degree'!$F$2</c:f>
              <c:strCache>
                <c:ptCount val="1"/>
                <c:pt idx="0">
                  <c:v>Doctoral Degree (Ph.D., M.D., J.D., etc.)</c:v>
                </c:pt>
              </c:strCache>
            </c:strRef>
          </c:tx>
          <c:invertIfNegative val="0"/>
          <c:cat>
            <c:strRef>
              <c:f>'Highest Degree'!$A$3:$A$16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'Highest Degree'!$F$3:$F$16</c:f>
              <c:numCache>
                <c:formatCode>0.0</c:formatCode>
                <c:ptCount val="14"/>
                <c:pt idx="0" formatCode="General">
                  <c:v>22.32</c:v>
                </c:pt>
                <c:pt idx="2" formatCode="0.00">
                  <c:v>16.422947131608549</c:v>
                </c:pt>
                <c:pt idx="3" formatCode="0.00">
                  <c:v>26.181562938699109</c:v>
                </c:pt>
                <c:pt idx="4" formatCode="0.00">
                  <c:v>21.95121951219512</c:v>
                </c:pt>
                <c:pt idx="5" formatCode="0.00">
                  <c:v>27.844311377245511</c:v>
                </c:pt>
                <c:pt idx="6" formatCode="0.00">
                  <c:v>22.857142857142861</c:v>
                </c:pt>
                <c:pt idx="8" formatCode="0.00">
                  <c:v>20.5024154589372</c:v>
                </c:pt>
                <c:pt idx="9" formatCode="0.00">
                  <c:v>26.747720364741639</c:v>
                </c:pt>
                <c:pt idx="10" formatCode="0.00">
                  <c:v>30.59964726631393</c:v>
                </c:pt>
                <c:pt idx="11" formatCode="0.00">
                  <c:v>25.966850828729282</c:v>
                </c:pt>
                <c:pt idx="12" formatCode="0.00">
                  <c:v>25.190839694656489</c:v>
                </c:pt>
                <c:pt idx="13" formatCode="0.00">
                  <c:v>22.13438735177866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89-CB4B-9FFD-8FEFEE64E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How worried are you about discrimination based on gender?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'Worry Discrimation Gender'!$B$2</c:f>
              <c:strCache>
                <c:ptCount val="1"/>
                <c:pt idx="0">
                  <c:v>Very worried</c:v>
                </c:pt>
              </c:strCache>
            </c:strRef>
          </c:tx>
          <c:spPr>
            <a:solidFill>
              <a:schemeClr val="accent2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Gender'!$A$3:$A$9</c:f>
              <c:strCache>
                <c:ptCount val="7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</c:strCache>
            </c:strRef>
          </c:cat>
          <c:val>
            <c:numRef>
              <c:f>'Worry Discrimation Gender'!$B$3:$B$9</c:f>
              <c:numCache>
                <c:formatCode>0.00</c:formatCode>
                <c:ptCount val="7"/>
                <c:pt idx="0">
                  <c:v>3.17</c:v>
                </c:pt>
                <c:pt idx="2">
                  <c:v>0.78799249530956861</c:v>
                </c:pt>
                <c:pt idx="3">
                  <c:v>2.276995305164319</c:v>
                </c:pt>
                <c:pt idx="4">
                  <c:v>40.243902439024403</c:v>
                </c:pt>
                <c:pt idx="5">
                  <c:v>22.089552238805972</c:v>
                </c:pt>
                <c:pt idx="6">
                  <c:v>10.869565217391299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C-BC4B-BE8C-F600DD201F32}"/>
            </c:ext>
          </c:extLst>
        </c:ser>
        <c:ser>
          <c:idx val="1"/>
          <c:order val="1"/>
          <c:tx>
            <c:strRef>
              <c:f>'Worry Discrimation Gender'!$C$2</c:f>
              <c:strCache>
                <c:ptCount val="1"/>
                <c:pt idx="0">
                  <c:v>Somewhat worried</c:v>
                </c:pt>
              </c:strCache>
            </c:strRef>
          </c:tx>
          <c:spPr>
            <a:solidFill>
              <a:schemeClr val="accent2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Gender'!$A$3:$A$9</c:f>
              <c:strCache>
                <c:ptCount val="7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</c:strCache>
            </c:strRef>
          </c:cat>
          <c:val>
            <c:numRef>
              <c:f>'Worry Discrimation Gender'!$C$3:$C$9</c:f>
              <c:numCache>
                <c:formatCode>0.00</c:formatCode>
                <c:ptCount val="7"/>
                <c:pt idx="0">
                  <c:v>8.58</c:v>
                </c:pt>
                <c:pt idx="2">
                  <c:v>2.1013133208255161</c:v>
                </c:pt>
                <c:pt idx="3">
                  <c:v>10.16431924882629</c:v>
                </c:pt>
                <c:pt idx="4">
                  <c:v>39.024390243902438</c:v>
                </c:pt>
                <c:pt idx="5">
                  <c:v>28.35820895522388</c:v>
                </c:pt>
                <c:pt idx="6">
                  <c:v>18.840579710144929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1C-BC4B-BE8C-F600DD201F32}"/>
            </c:ext>
          </c:extLst>
        </c:ser>
        <c:ser>
          <c:idx val="2"/>
          <c:order val="2"/>
          <c:tx>
            <c:strRef>
              <c:f>'Worry Discrimation Gender'!$D$2</c:f>
              <c:strCache>
                <c:ptCount val="1"/>
                <c:pt idx="0">
                  <c:v>Slightly worried</c:v>
                </c:pt>
              </c:strCache>
            </c:strRef>
          </c:tx>
          <c:spPr>
            <a:solidFill>
              <a:schemeClr val="accent2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Gender'!$A$3:$A$9</c:f>
              <c:strCache>
                <c:ptCount val="7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</c:strCache>
            </c:strRef>
          </c:cat>
          <c:val>
            <c:numRef>
              <c:f>'Worry Discrimation Gender'!$D$3:$D$9</c:f>
              <c:numCache>
                <c:formatCode>0.00</c:formatCode>
                <c:ptCount val="7"/>
                <c:pt idx="0">
                  <c:v>16.920000000000002</c:v>
                </c:pt>
                <c:pt idx="2">
                  <c:v>5.5534709193245781</c:v>
                </c:pt>
                <c:pt idx="3">
                  <c:v>22.93427230046948</c:v>
                </c:pt>
                <c:pt idx="4">
                  <c:v>13.4146341463415</c:v>
                </c:pt>
                <c:pt idx="5">
                  <c:v>27.761194029850749</c:v>
                </c:pt>
                <c:pt idx="6">
                  <c:v>34.782608695652172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1C-BC4B-BE8C-F600DD201F32}"/>
            </c:ext>
          </c:extLst>
        </c:ser>
        <c:ser>
          <c:idx val="3"/>
          <c:order val="3"/>
          <c:tx>
            <c:strRef>
              <c:f>'Worry Discrimation Gender'!$E$2</c:f>
              <c:strCache>
                <c:ptCount val="1"/>
                <c:pt idx="0">
                  <c:v>Not at all worried</c:v>
                </c:pt>
              </c:strCache>
            </c:strRef>
          </c:tx>
          <c:spPr>
            <a:solidFill>
              <a:schemeClr val="accent6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Gender'!$A$3:$A$9</c:f>
              <c:strCache>
                <c:ptCount val="7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</c:strCache>
            </c:strRef>
          </c:cat>
          <c:val>
            <c:numRef>
              <c:f>'Worry Discrimation Gender'!$E$3:$E$9</c:f>
              <c:numCache>
                <c:formatCode>0.00</c:formatCode>
                <c:ptCount val="7"/>
                <c:pt idx="0">
                  <c:v>71.33</c:v>
                </c:pt>
                <c:pt idx="2">
                  <c:v>91.557223264540326</c:v>
                </c:pt>
                <c:pt idx="3">
                  <c:v>64.624413145539904</c:v>
                </c:pt>
                <c:pt idx="4">
                  <c:v>7.3170731707317067</c:v>
                </c:pt>
                <c:pt idx="5">
                  <c:v>21.791044776119399</c:v>
                </c:pt>
                <c:pt idx="6">
                  <c:v>35.507246376811587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1C-BC4B-BE8C-F600DD201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How worried are you about about discrimination based on sexual orientation?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4"/>
          <c:order val="0"/>
          <c:tx>
            <c:strRef>
              <c:f>'Worry Discrimation SO'!$B$2</c:f>
              <c:strCache>
                <c:ptCount val="1"/>
                <c:pt idx="0">
                  <c:v>Very worried</c:v>
                </c:pt>
              </c:strCache>
            </c:strRef>
          </c:tx>
          <c:spPr>
            <a:solidFill>
              <a:schemeClr val="accent1">
                <a:tint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SO'!$B$3:$B$10</c:f>
              <c:numCache>
                <c:formatCode>General</c:formatCode>
                <c:ptCount val="8"/>
                <c:pt idx="0" formatCode="0.00">
                  <c:v>2.64</c:v>
                </c:pt>
                <c:pt idx="2" formatCode="0.00">
                  <c:v>0.60229259762968712</c:v>
                </c:pt>
                <c:pt idx="3" formatCode="0.00">
                  <c:v>13.414634146341459</c:v>
                </c:pt>
                <c:pt idx="4" formatCode="0.00">
                  <c:v>6.1511423550087869</c:v>
                </c:pt>
                <c:pt idx="5" formatCode="0.00">
                  <c:v>4.9450549450549453</c:v>
                </c:pt>
                <c:pt idx="6" formatCode="0.00">
                  <c:v>8.3969465648854964</c:v>
                </c:pt>
                <c:pt idx="7" formatCode="0.00">
                  <c:v>4.9603174603174596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C6B-7945-B515-72F06DD4EC42}"/>
            </c:ext>
          </c:extLst>
        </c:ser>
        <c:ser>
          <c:idx val="5"/>
          <c:order val="1"/>
          <c:tx>
            <c:strRef>
              <c:f>'Worry Discrimation SO'!$C$2</c:f>
              <c:strCache>
                <c:ptCount val="1"/>
                <c:pt idx="0">
                  <c:v>Somewhat worried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SO'!$C$3:$C$10</c:f>
              <c:numCache>
                <c:formatCode>General</c:formatCode>
                <c:ptCount val="8"/>
                <c:pt idx="0" formatCode="0.00">
                  <c:v>6.65</c:v>
                </c:pt>
                <c:pt idx="2" formatCode="0.00">
                  <c:v>1.72916261900136</c:v>
                </c:pt>
                <c:pt idx="3" formatCode="0.00">
                  <c:v>29.573170731707311</c:v>
                </c:pt>
                <c:pt idx="4" formatCode="0.00">
                  <c:v>16.34446397188049</c:v>
                </c:pt>
                <c:pt idx="5" formatCode="0.00">
                  <c:v>17.58241758241758</c:v>
                </c:pt>
                <c:pt idx="6" formatCode="0.00">
                  <c:v>24.427480916030529</c:v>
                </c:pt>
                <c:pt idx="7" formatCode="0.00">
                  <c:v>10.11904761904762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C6B-7945-B515-72F06DD4EC42}"/>
            </c:ext>
          </c:extLst>
        </c:ser>
        <c:ser>
          <c:idx val="6"/>
          <c:order val="2"/>
          <c:tx>
            <c:strRef>
              <c:f>'Worry Discrimation SO'!$D$2</c:f>
              <c:strCache>
                <c:ptCount val="1"/>
                <c:pt idx="0">
                  <c:v>Slightly worried</c:v>
                </c:pt>
              </c:strCache>
            </c:strRef>
          </c:tx>
          <c:spPr>
            <a:solidFill>
              <a:schemeClr val="accent1">
                <a:tint val="62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SO'!$D$3:$D$10</c:f>
              <c:numCache>
                <c:formatCode>General</c:formatCode>
                <c:ptCount val="8"/>
                <c:pt idx="0" formatCode="0.00">
                  <c:v>12.02</c:v>
                </c:pt>
                <c:pt idx="2" formatCode="0.00">
                  <c:v>4.3131921507674376</c:v>
                </c:pt>
                <c:pt idx="3" formatCode="0.00">
                  <c:v>33.841463414634148</c:v>
                </c:pt>
                <c:pt idx="4" formatCode="0.00">
                  <c:v>31.370826010544821</c:v>
                </c:pt>
                <c:pt idx="5" formatCode="0.00">
                  <c:v>29.670329670329672</c:v>
                </c:pt>
                <c:pt idx="6" formatCode="0.00">
                  <c:v>33.587786259541993</c:v>
                </c:pt>
                <c:pt idx="7" formatCode="0.00">
                  <c:v>22.81746031746032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C6B-7945-B515-72F06DD4EC42}"/>
            </c:ext>
          </c:extLst>
        </c:ser>
        <c:ser>
          <c:idx val="7"/>
          <c:order val="3"/>
          <c:tx>
            <c:strRef>
              <c:f>'Worry Discrimation SO'!$E$2</c:f>
              <c:strCache>
                <c:ptCount val="1"/>
                <c:pt idx="0">
                  <c:v>Not at all worried</c:v>
                </c:pt>
              </c:strCache>
            </c:strRef>
          </c:tx>
          <c:spPr>
            <a:solidFill>
              <a:schemeClr val="accent1">
                <a:tint val="4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SO'!$E$3:$E$10</c:f>
              <c:numCache>
                <c:formatCode>General</c:formatCode>
                <c:ptCount val="8"/>
                <c:pt idx="0" formatCode="0.00">
                  <c:v>78.680000000000007</c:v>
                </c:pt>
                <c:pt idx="2" formatCode="0.00">
                  <c:v>93.355352632601523</c:v>
                </c:pt>
                <c:pt idx="3" formatCode="0.00">
                  <c:v>23.170731707317071</c:v>
                </c:pt>
                <c:pt idx="4" formatCode="0.00">
                  <c:v>46.133567662565902</c:v>
                </c:pt>
                <c:pt idx="5" formatCode="0.00">
                  <c:v>47.802197802197803</c:v>
                </c:pt>
                <c:pt idx="6" formatCode="0.00">
                  <c:v>33.587786259541993</c:v>
                </c:pt>
                <c:pt idx="7" formatCode="0.00">
                  <c:v>62.103174603174608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C6B-7945-B515-72F06DD4EC42}"/>
            </c:ext>
          </c:extLst>
        </c:ser>
        <c:ser>
          <c:idx val="0"/>
          <c:order val="4"/>
          <c:tx>
            <c:strRef>
              <c:f>'Worry Discrimation SO'!$B$2</c:f>
              <c:strCache>
                <c:ptCount val="1"/>
                <c:pt idx="0">
                  <c:v>Very worried</c:v>
                </c:pt>
              </c:strCache>
            </c:strRef>
          </c:tx>
          <c:spPr>
            <a:solidFill>
              <a:schemeClr val="accent1">
                <a:shade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SO'!$B$3:$B$10</c:f>
              <c:numCache>
                <c:formatCode>General</c:formatCode>
                <c:ptCount val="8"/>
                <c:pt idx="0" formatCode="0.00">
                  <c:v>2.64</c:v>
                </c:pt>
                <c:pt idx="2" formatCode="0.00">
                  <c:v>0.60229259762968712</c:v>
                </c:pt>
                <c:pt idx="3" formatCode="0.00">
                  <c:v>13.414634146341459</c:v>
                </c:pt>
                <c:pt idx="4" formatCode="0.00">
                  <c:v>6.1511423550087869</c:v>
                </c:pt>
                <c:pt idx="5" formatCode="0.00">
                  <c:v>4.9450549450549453</c:v>
                </c:pt>
                <c:pt idx="6" formatCode="0.00">
                  <c:v>8.3969465648854964</c:v>
                </c:pt>
                <c:pt idx="7" formatCode="0.00">
                  <c:v>4.9603174603174596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C6B-7945-B515-72F06DD4EC42}"/>
            </c:ext>
          </c:extLst>
        </c:ser>
        <c:ser>
          <c:idx val="1"/>
          <c:order val="5"/>
          <c:tx>
            <c:strRef>
              <c:f>'Worry Discrimation SO'!$C$2</c:f>
              <c:strCache>
                <c:ptCount val="1"/>
                <c:pt idx="0">
                  <c:v>Somewhat worried</c:v>
                </c:pt>
              </c:strCache>
            </c:strRef>
          </c:tx>
          <c:spPr>
            <a:solidFill>
              <a:schemeClr val="accent1">
                <a:shade val="61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SO'!$C$3:$C$10</c:f>
              <c:numCache>
                <c:formatCode>General</c:formatCode>
                <c:ptCount val="8"/>
                <c:pt idx="0" formatCode="0.00">
                  <c:v>6.65</c:v>
                </c:pt>
                <c:pt idx="2" formatCode="0.00">
                  <c:v>1.72916261900136</c:v>
                </c:pt>
                <c:pt idx="3" formatCode="0.00">
                  <c:v>29.573170731707311</c:v>
                </c:pt>
                <c:pt idx="4" formatCode="0.00">
                  <c:v>16.34446397188049</c:v>
                </c:pt>
                <c:pt idx="5" formatCode="0.00">
                  <c:v>17.58241758241758</c:v>
                </c:pt>
                <c:pt idx="6" formatCode="0.00">
                  <c:v>24.427480916030529</c:v>
                </c:pt>
                <c:pt idx="7" formatCode="0.00">
                  <c:v>10.11904761904762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C6B-7945-B515-72F06DD4EC42}"/>
            </c:ext>
          </c:extLst>
        </c:ser>
        <c:ser>
          <c:idx val="2"/>
          <c:order val="6"/>
          <c:tx>
            <c:strRef>
              <c:f>'Worry Discrimation SO'!$D$2</c:f>
              <c:strCache>
                <c:ptCount val="1"/>
                <c:pt idx="0">
                  <c:v>Slightly worried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SO'!$D$3:$D$10</c:f>
              <c:numCache>
                <c:formatCode>General</c:formatCode>
                <c:ptCount val="8"/>
                <c:pt idx="0" formatCode="0.00">
                  <c:v>12.02</c:v>
                </c:pt>
                <c:pt idx="2" formatCode="0.00">
                  <c:v>4.3131921507674376</c:v>
                </c:pt>
                <c:pt idx="3" formatCode="0.00">
                  <c:v>33.841463414634148</c:v>
                </c:pt>
                <c:pt idx="4" formatCode="0.00">
                  <c:v>31.370826010544821</c:v>
                </c:pt>
                <c:pt idx="5" formatCode="0.00">
                  <c:v>29.670329670329672</c:v>
                </c:pt>
                <c:pt idx="6" formatCode="0.00">
                  <c:v>33.587786259541993</c:v>
                </c:pt>
                <c:pt idx="7" formatCode="0.00">
                  <c:v>22.81746031746032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C6B-7945-B515-72F06DD4EC42}"/>
            </c:ext>
          </c:extLst>
        </c:ser>
        <c:ser>
          <c:idx val="3"/>
          <c:order val="7"/>
          <c:tx>
            <c:strRef>
              <c:f>'Worry Discrimation SO'!$E$2</c:f>
              <c:strCache>
                <c:ptCount val="1"/>
                <c:pt idx="0">
                  <c:v>Not at all worried</c:v>
                </c:pt>
              </c:strCache>
            </c:strRef>
          </c:tx>
          <c:spPr>
            <a:solidFill>
              <a:schemeClr val="accent1">
                <a:shade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Discrimation SO'!$A$3:$A$10</c:f>
              <c:strCache>
                <c:ptCount val="8"/>
                <c:pt idx="0">
                  <c:v>All respondents </c:v>
                </c:pt>
                <c:pt idx="2">
                  <c:v>Straight/heterosexual</c:v>
                </c:pt>
                <c:pt idx="3">
                  <c:v>Gay or lesbian</c:v>
                </c:pt>
                <c:pt idx="4">
                  <c:v>Bisexual/pansexual/omnisexual</c:v>
                </c:pt>
                <c:pt idx="5">
                  <c:v>Asexual/aromantic/demisexual</c:v>
                </c:pt>
                <c:pt idx="6">
                  <c:v>Other/queer/questioning</c:v>
                </c:pt>
                <c:pt idx="7">
                  <c:v>Prefer not to say</c:v>
                </c:pt>
              </c:strCache>
            </c:strRef>
          </c:cat>
          <c:val>
            <c:numRef>
              <c:f>'Worry Discrimation SO'!$E$3:$E$10</c:f>
              <c:numCache>
                <c:formatCode>General</c:formatCode>
                <c:ptCount val="8"/>
                <c:pt idx="0" formatCode="0.00">
                  <c:v>78.680000000000007</c:v>
                </c:pt>
                <c:pt idx="2" formatCode="0.00">
                  <c:v>93.355352632601523</c:v>
                </c:pt>
                <c:pt idx="3" formatCode="0.00">
                  <c:v>23.170731707317071</c:v>
                </c:pt>
                <c:pt idx="4" formatCode="0.00">
                  <c:v>46.133567662565902</c:v>
                </c:pt>
                <c:pt idx="5" formatCode="0.00">
                  <c:v>47.802197802197803</c:v>
                </c:pt>
                <c:pt idx="6" formatCode="0.00">
                  <c:v>33.587786259541993</c:v>
                </c:pt>
                <c:pt idx="7" formatCode="0.00">
                  <c:v>62.103174603174608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C6B-7945-B515-72F06DD4E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600" b="1"/>
              <a:t>How worried are you about finding community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2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'Worry Community'!$B$2</c:f>
              <c:strCache>
                <c:ptCount val="1"/>
                <c:pt idx="0">
                  <c:v>Very worried</c:v>
                </c:pt>
              </c:strCache>
            </c:strRef>
          </c:tx>
          <c:spPr>
            <a:solidFill>
              <a:schemeClr val="accent4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Community'!$A$3:$A$16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Community'!$B$3:$B$16</c:f>
              <c:numCache>
                <c:formatCode>0.00</c:formatCode>
                <c:ptCount val="14"/>
                <c:pt idx="0">
                  <c:v>16.3</c:v>
                </c:pt>
                <c:pt idx="2">
                  <c:v>13.03201506591337</c:v>
                </c:pt>
                <c:pt idx="3">
                  <c:v>17.384183434721571</c:v>
                </c:pt>
                <c:pt idx="4">
                  <c:v>25.609756097560979</c:v>
                </c:pt>
                <c:pt idx="5">
                  <c:v>25.377643504531719</c:v>
                </c:pt>
                <c:pt idx="6">
                  <c:v>27.338129496402878</c:v>
                </c:pt>
                <c:pt idx="8">
                  <c:v>14.401858304297329</c:v>
                </c:pt>
                <c:pt idx="9">
                  <c:v>21.212121212121211</c:v>
                </c:pt>
                <c:pt idx="10">
                  <c:v>20.211827007943519</c:v>
                </c:pt>
                <c:pt idx="11">
                  <c:v>18.333333333333329</c:v>
                </c:pt>
                <c:pt idx="12">
                  <c:v>24.806201550387598</c:v>
                </c:pt>
                <c:pt idx="13">
                  <c:v>22.772277227722771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D9-0D48-BB0E-B38817BDD6D0}"/>
            </c:ext>
          </c:extLst>
        </c:ser>
        <c:ser>
          <c:idx val="1"/>
          <c:order val="1"/>
          <c:tx>
            <c:strRef>
              <c:f>'Worry Community'!$C$2</c:f>
              <c:strCache>
                <c:ptCount val="1"/>
                <c:pt idx="0">
                  <c:v>Somewhat worried</c:v>
                </c:pt>
              </c:strCache>
            </c:strRef>
          </c:tx>
          <c:spPr>
            <a:solidFill>
              <a:schemeClr val="accent4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Community'!$A$3:$A$16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Community'!$C$3:$C$16</c:f>
              <c:numCache>
                <c:formatCode>0.00</c:formatCode>
                <c:ptCount val="14"/>
                <c:pt idx="0">
                  <c:v>25.72</c:v>
                </c:pt>
                <c:pt idx="2">
                  <c:v>21.657250470809789</c:v>
                </c:pt>
                <c:pt idx="3">
                  <c:v>27.819372952737481</c:v>
                </c:pt>
                <c:pt idx="4">
                  <c:v>21.95121951219512</c:v>
                </c:pt>
                <c:pt idx="5">
                  <c:v>29.305135951661629</c:v>
                </c:pt>
                <c:pt idx="6">
                  <c:v>25.899280575539571</c:v>
                </c:pt>
                <c:pt idx="8">
                  <c:v>24.370886566008519</c:v>
                </c:pt>
                <c:pt idx="9">
                  <c:v>26.666666666666671</c:v>
                </c:pt>
                <c:pt idx="10">
                  <c:v>29.21447484554281</c:v>
                </c:pt>
                <c:pt idx="11">
                  <c:v>30</c:v>
                </c:pt>
                <c:pt idx="12">
                  <c:v>24.806201550387598</c:v>
                </c:pt>
                <c:pt idx="13">
                  <c:v>26.53465346534654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D9-0D48-BB0E-B38817BDD6D0}"/>
            </c:ext>
          </c:extLst>
        </c:ser>
        <c:ser>
          <c:idx val="2"/>
          <c:order val="2"/>
          <c:tx>
            <c:strRef>
              <c:f>'Worry Community'!$D$2</c:f>
              <c:strCache>
                <c:ptCount val="1"/>
                <c:pt idx="0">
                  <c:v>Slightly worried</c:v>
                </c:pt>
              </c:strCache>
            </c:strRef>
          </c:tx>
          <c:spPr>
            <a:solidFill>
              <a:schemeClr val="accent4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Community'!$A$3:$A$16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Community'!$D$3:$D$16</c:f>
              <c:numCache>
                <c:formatCode>0.00</c:formatCode>
                <c:ptCount val="14"/>
                <c:pt idx="0">
                  <c:v>31.22</c:v>
                </c:pt>
                <c:pt idx="2">
                  <c:v>31.638418079096049</c:v>
                </c:pt>
                <c:pt idx="3">
                  <c:v>31.539541413196069</c:v>
                </c:pt>
                <c:pt idx="4">
                  <c:v>26.829268292682929</c:v>
                </c:pt>
                <c:pt idx="5">
                  <c:v>28.09667673716012</c:v>
                </c:pt>
                <c:pt idx="6">
                  <c:v>25.17985611510791</c:v>
                </c:pt>
                <c:pt idx="8">
                  <c:v>31.591173054587689</c:v>
                </c:pt>
                <c:pt idx="9">
                  <c:v>32.121212121212118</c:v>
                </c:pt>
                <c:pt idx="10">
                  <c:v>30.450132391879961</c:v>
                </c:pt>
                <c:pt idx="11">
                  <c:v>31.666666666666661</c:v>
                </c:pt>
                <c:pt idx="12">
                  <c:v>29.45736434108527</c:v>
                </c:pt>
                <c:pt idx="13">
                  <c:v>30.297029702970299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ED9-0D48-BB0E-B38817BDD6D0}"/>
            </c:ext>
          </c:extLst>
        </c:ser>
        <c:ser>
          <c:idx val="3"/>
          <c:order val="3"/>
          <c:tx>
            <c:strRef>
              <c:f>'Worry Community'!$E$2</c:f>
              <c:strCache>
                <c:ptCount val="1"/>
                <c:pt idx="0">
                  <c:v>Not at all worried</c:v>
                </c:pt>
              </c:strCache>
            </c:strRef>
          </c:tx>
          <c:spPr>
            <a:solidFill>
              <a:schemeClr val="accent4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Community'!$A$3:$A$16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Community'!$E$3:$E$16</c:f>
              <c:numCache>
                <c:formatCode>0.00</c:formatCode>
                <c:ptCount val="14"/>
                <c:pt idx="0">
                  <c:v>26.76</c:v>
                </c:pt>
                <c:pt idx="2">
                  <c:v>33.672316384180789</c:v>
                </c:pt>
                <c:pt idx="3">
                  <c:v>23.256902199344879</c:v>
                </c:pt>
                <c:pt idx="4">
                  <c:v>25.609756097560979</c:v>
                </c:pt>
                <c:pt idx="5">
                  <c:v>17.220543806646521</c:v>
                </c:pt>
                <c:pt idx="6">
                  <c:v>21.582733812949641</c:v>
                </c:pt>
                <c:pt idx="8">
                  <c:v>29.636082075106469</c:v>
                </c:pt>
                <c:pt idx="9">
                  <c:v>20</c:v>
                </c:pt>
                <c:pt idx="10">
                  <c:v>20.12356575463372</c:v>
                </c:pt>
                <c:pt idx="11">
                  <c:v>20</c:v>
                </c:pt>
                <c:pt idx="12">
                  <c:v>20.93023255813954</c:v>
                </c:pt>
                <c:pt idx="13">
                  <c:v>20.3960396039604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ED9-0D48-BB0E-B38817BDD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How worried are you about having adequate support for emotional and mental health needs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'Worry Support'!$B$2</c:f>
              <c:strCache>
                <c:ptCount val="1"/>
                <c:pt idx="0">
                  <c:v>Very worried</c:v>
                </c:pt>
              </c:strCache>
            </c:strRef>
          </c:tx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Support'!$A$3:$A$16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Support'!$B$3:$B$16</c:f>
              <c:numCache>
                <c:formatCode>0.00</c:formatCode>
                <c:ptCount val="14"/>
                <c:pt idx="0">
                  <c:v>11.62</c:v>
                </c:pt>
                <c:pt idx="2">
                  <c:v>6.8421052631578956</c:v>
                </c:pt>
                <c:pt idx="3">
                  <c:v>12.848116077697171</c:v>
                </c:pt>
                <c:pt idx="4">
                  <c:v>23.170731707317071</c:v>
                </c:pt>
                <c:pt idx="5">
                  <c:v>26.268656716417912</c:v>
                </c:pt>
                <c:pt idx="6">
                  <c:v>27.338129496402878</c:v>
                </c:pt>
                <c:pt idx="8">
                  <c:v>8.6317011805689958</c:v>
                </c:pt>
                <c:pt idx="9">
                  <c:v>18.484848484848481</c:v>
                </c:pt>
                <c:pt idx="10">
                  <c:v>19.613016710642039</c:v>
                </c:pt>
                <c:pt idx="11">
                  <c:v>18.784530386740329</c:v>
                </c:pt>
                <c:pt idx="12">
                  <c:v>20.155038759689919</c:v>
                </c:pt>
                <c:pt idx="13">
                  <c:v>15.41501976284585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1B-214B-AA0F-B16A9D32F407}"/>
            </c:ext>
          </c:extLst>
        </c:ser>
        <c:ser>
          <c:idx val="1"/>
          <c:order val="1"/>
          <c:tx>
            <c:strRef>
              <c:f>'Worry Support'!$C$2</c:f>
              <c:strCache>
                <c:ptCount val="1"/>
                <c:pt idx="0">
                  <c:v>Somewhat worried</c:v>
                </c:pt>
              </c:strCache>
            </c:strRef>
          </c:tx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Support'!$A$3:$A$16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Support'!$C$3:$C$16</c:f>
              <c:numCache>
                <c:formatCode>0.00</c:formatCode>
                <c:ptCount val="14"/>
                <c:pt idx="0">
                  <c:v>22.43</c:v>
                </c:pt>
                <c:pt idx="2">
                  <c:v>16.578947368421051</c:v>
                </c:pt>
                <c:pt idx="3">
                  <c:v>24.970746548092681</c:v>
                </c:pt>
                <c:pt idx="4">
                  <c:v>31.707317073170731</c:v>
                </c:pt>
                <c:pt idx="5">
                  <c:v>29.552238805970148</c:v>
                </c:pt>
                <c:pt idx="6">
                  <c:v>25.17985611510791</c:v>
                </c:pt>
                <c:pt idx="8">
                  <c:v>19.972904973872659</c:v>
                </c:pt>
                <c:pt idx="9">
                  <c:v>27.27272727272727</c:v>
                </c:pt>
                <c:pt idx="10">
                  <c:v>27.792436235707999</c:v>
                </c:pt>
                <c:pt idx="11">
                  <c:v>28.729281767955801</c:v>
                </c:pt>
                <c:pt idx="12">
                  <c:v>26.356589147286829</c:v>
                </c:pt>
                <c:pt idx="13">
                  <c:v>26.48221343873518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1B-214B-AA0F-B16A9D32F407}"/>
            </c:ext>
          </c:extLst>
        </c:ser>
        <c:ser>
          <c:idx val="2"/>
          <c:order val="2"/>
          <c:tx>
            <c:strRef>
              <c:f>'Worry Support'!$D$2</c:f>
              <c:strCache>
                <c:ptCount val="1"/>
                <c:pt idx="0">
                  <c:v>Slightly worried</c:v>
                </c:pt>
              </c:strCache>
            </c:strRef>
          </c:tx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Support'!$A$3:$A$16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Support'!$D$3:$D$16</c:f>
              <c:numCache>
                <c:formatCode>0.00</c:formatCode>
                <c:ptCount val="14"/>
                <c:pt idx="0">
                  <c:v>32.97</c:v>
                </c:pt>
                <c:pt idx="2">
                  <c:v>30.977443609022561</c:v>
                </c:pt>
                <c:pt idx="3">
                  <c:v>34.870114673531482</c:v>
                </c:pt>
                <c:pt idx="4">
                  <c:v>30.487804878048781</c:v>
                </c:pt>
                <c:pt idx="5">
                  <c:v>31.343283582089551</c:v>
                </c:pt>
                <c:pt idx="6">
                  <c:v>27.338129496402878</c:v>
                </c:pt>
                <c:pt idx="8">
                  <c:v>32.804335204180383</c:v>
                </c:pt>
                <c:pt idx="9">
                  <c:v>37.272727272727273</c:v>
                </c:pt>
                <c:pt idx="10">
                  <c:v>33.861037818821458</c:v>
                </c:pt>
                <c:pt idx="11">
                  <c:v>35.911602209944753</c:v>
                </c:pt>
                <c:pt idx="12">
                  <c:v>35.65891472868217</c:v>
                </c:pt>
                <c:pt idx="13">
                  <c:v>32.411067193675891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1B-214B-AA0F-B16A9D32F407}"/>
            </c:ext>
          </c:extLst>
        </c:ser>
        <c:ser>
          <c:idx val="3"/>
          <c:order val="3"/>
          <c:tx>
            <c:strRef>
              <c:f>'Worry Support'!$E$2</c:f>
              <c:strCache>
                <c:ptCount val="1"/>
                <c:pt idx="0">
                  <c:v>Not at all worried</c:v>
                </c:pt>
              </c:strCache>
            </c:strRef>
          </c:tx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strRef>
              <c:f>'Worry Support'!$A$3:$A$16</c:f>
              <c:strCache>
                <c:ptCount val="14"/>
                <c:pt idx="0">
                  <c:v>All respondents </c:v>
                </c:pt>
                <c:pt idx="2">
                  <c:v>Cisgender man</c:v>
                </c:pt>
                <c:pt idx="3">
                  <c:v>Cisgender woman</c:v>
                </c:pt>
                <c:pt idx="4">
                  <c:v>Transgender</c:v>
                </c:pt>
                <c:pt idx="5">
                  <c:v>Nonbinary/gender diverse/questioning</c:v>
                </c:pt>
                <c:pt idx="6">
                  <c:v>Prefer not to say</c:v>
                </c:pt>
                <c:pt idx="8">
                  <c:v>Straight/heterosexual</c:v>
                </c:pt>
                <c:pt idx="9">
                  <c:v>Gay or lesbian</c:v>
                </c:pt>
                <c:pt idx="10">
                  <c:v>Bisexual/pansexual/omnisexual</c:v>
                </c:pt>
                <c:pt idx="11">
                  <c:v>Asexual/aromantic/demisexual</c:v>
                </c:pt>
                <c:pt idx="12">
                  <c:v>Other/queer/questioning</c:v>
                </c:pt>
                <c:pt idx="13">
                  <c:v>Prefer not to say</c:v>
                </c:pt>
              </c:strCache>
            </c:strRef>
          </c:cat>
          <c:val>
            <c:numRef>
              <c:f>'Worry Support'!$E$3:$E$16</c:f>
              <c:numCache>
                <c:formatCode>0.00</c:formatCode>
                <c:ptCount val="14"/>
                <c:pt idx="0">
                  <c:v>32.979999999999997</c:v>
                </c:pt>
                <c:pt idx="2">
                  <c:v>45.601503759398497</c:v>
                </c:pt>
                <c:pt idx="3">
                  <c:v>27.311022700678681</c:v>
                </c:pt>
                <c:pt idx="4">
                  <c:v>14.63414634146341</c:v>
                </c:pt>
                <c:pt idx="5">
                  <c:v>12.83582089552239</c:v>
                </c:pt>
                <c:pt idx="6">
                  <c:v>20.14388489208633</c:v>
                </c:pt>
                <c:pt idx="8">
                  <c:v>38.59105864137797</c:v>
                </c:pt>
                <c:pt idx="9">
                  <c:v>16.969696969696969</c:v>
                </c:pt>
                <c:pt idx="10">
                  <c:v>18.7335092348285</c:v>
                </c:pt>
                <c:pt idx="11">
                  <c:v>16.57458563535911</c:v>
                </c:pt>
                <c:pt idx="12">
                  <c:v>17.829457364341081</c:v>
                </c:pt>
                <c:pt idx="13">
                  <c:v>25.691699604743089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1B-214B-AA0F-B16A9D32F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2026045584"/>
        <c:axId val="2021922736"/>
      </c:barChart>
      <c:catAx>
        <c:axId val="202604558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922736"/>
        <c:crosses val="autoZero"/>
        <c:auto val="1"/>
        <c:lblAlgn val="ctr"/>
        <c:lblOffset val="100"/>
        <c:noMultiLvlLbl val="0"/>
      </c:catAx>
      <c:valAx>
        <c:axId val="202192273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254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045584"/>
        <c:crosses val="max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431800</xdr:colOff>
      <xdr:row>1</xdr:row>
      <xdr:rowOff>171450</xdr:rowOff>
    </xdr:from>
    <xdr:to>
      <xdr:col>16</xdr:col>
      <xdr:colOff>457200</xdr:colOff>
      <xdr:row>31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9CDBB4-854D-F0FD-9855-D116439412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17</xdr:col>
      <xdr:colOff>25400</xdr:colOff>
      <xdr:row>30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8DF1B4-35F6-FF47-8635-E9E142E7A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165100</xdr:colOff>
      <xdr:row>2</xdr:row>
      <xdr:rowOff>152400</xdr:rowOff>
    </xdr:from>
    <xdr:to>
      <xdr:col>11</xdr:col>
      <xdr:colOff>533400</xdr:colOff>
      <xdr:row>35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CF4BD9-5AC8-CFA1-1D7B-162ADE4E2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977900</xdr:colOff>
      <xdr:row>2</xdr:row>
      <xdr:rowOff>152400</xdr:rowOff>
    </xdr:from>
    <xdr:to>
      <xdr:col>9</xdr:col>
      <xdr:colOff>2514600</xdr:colOff>
      <xdr:row>32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5DD7A1-41B4-CE44-9C35-0D9D7870A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391584</xdr:colOff>
      <xdr:row>1</xdr:row>
      <xdr:rowOff>179917</xdr:rowOff>
    </xdr:from>
    <xdr:to>
      <xdr:col>22</xdr:col>
      <xdr:colOff>721784</xdr:colOff>
      <xdr:row>35</xdr:row>
      <xdr:rowOff>103717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F518A-54ED-D046-8904-7F049DDC8D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391584</xdr:colOff>
      <xdr:row>1</xdr:row>
      <xdr:rowOff>179917</xdr:rowOff>
    </xdr:from>
    <xdr:to>
      <xdr:col>22</xdr:col>
      <xdr:colOff>721784</xdr:colOff>
      <xdr:row>35</xdr:row>
      <xdr:rowOff>103717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4CD8A-4C0B-B449-883B-08A14BAAE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2</xdr:row>
      <xdr:rowOff>12700</xdr:rowOff>
    </xdr:from>
    <xdr:to>
      <xdr:col>18</xdr:col>
      <xdr:colOff>495300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DEACAD9-ECE9-7E44-87B4-D112BE974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266700</xdr:colOff>
      <xdr:row>2</xdr:row>
      <xdr:rowOff>12700</xdr:rowOff>
    </xdr:from>
    <xdr:to>
      <xdr:col>20</xdr:col>
      <xdr:colOff>596900</xdr:colOff>
      <xdr:row>35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137911-5D22-9D4B-A3B6-402C4F610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31357</xdr:colOff>
      <xdr:row>21</xdr:row>
      <xdr:rowOff>59875</xdr:rowOff>
    </xdr:from>
    <xdr:to>
      <xdr:col>32</xdr:col>
      <xdr:colOff>47036</xdr:colOff>
      <xdr:row>64</xdr:row>
      <xdr:rowOff>188147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7EF4CA-F360-95BB-E1F1-246A819867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550333</xdr:colOff>
      <xdr:row>4</xdr:row>
      <xdr:rowOff>74083</xdr:rowOff>
    </xdr:from>
    <xdr:to>
      <xdr:col>22</xdr:col>
      <xdr:colOff>55033</xdr:colOff>
      <xdr:row>37</xdr:row>
      <xdr:rowOff>188383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DB99AF-36C4-834D-93D4-411C7F050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508000</xdr:colOff>
      <xdr:row>10</xdr:row>
      <xdr:rowOff>169336</xdr:rowOff>
    </xdr:from>
    <xdr:to>
      <xdr:col>14</xdr:col>
      <xdr:colOff>817033</xdr:colOff>
      <xdr:row>44</xdr:row>
      <xdr:rowOff>93136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62D23E-9398-A042-9088-9D3E97C6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222250</xdr:colOff>
      <xdr:row>1</xdr:row>
      <xdr:rowOff>169333</xdr:rowOff>
    </xdr:from>
    <xdr:to>
      <xdr:col>21</xdr:col>
      <xdr:colOff>552450</xdr:colOff>
      <xdr:row>35</xdr:row>
      <xdr:rowOff>93133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4C3A94-6EA0-4B4A-9DBA-B505CD1B4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529167</xdr:colOff>
      <xdr:row>1</xdr:row>
      <xdr:rowOff>169333</xdr:rowOff>
    </xdr:from>
    <xdr:to>
      <xdr:col>19</xdr:col>
      <xdr:colOff>753533</xdr:colOff>
      <xdr:row>35</xdr:row>
      <xdr:rowOff>93133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99AA5C-A117-0346-8D63-AAEB9B1F7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529167</xdr:colOff>
      <xdr:row>1</xdr:row>
      <xdr:rowOff>169333</xdr:rowOff>
    </xdr:from>
    <xdr:to>
      <xdr:col>19</xdr:col>
      <xdr:colOff>753533</xdr:colOff>
      <xdr:row>35</xdr:row>
      <xdr:rowOff>93133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C9946D-43A8-B642-8994-5CC70DE19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EFCA-3F28-7341-93B0-0D92F4E21738}">
  <dimension ref="A1:G25"/>
  <sheetViews>
    <sheetView workbookViewId="0">
      <selection activeCell="A23" sqref="A23"/>
    </sheetView>
  </sheetViews>
  <sheetFormatPr baseColWidth="10" defaultRowHeight="15" x14ac:dyDescent="0.2"/>
  <cols>
    <col min="1" max="1" width="39.33203125" style="8" customWidth="1"/>
    <col min="2" max="16384" width="10.83203125" style="8"/>
  </cols>
  <sheetData>
    <row r="1" spans="1:7" x14ac:dyDescent="0.2">
      <c r="A1" s="5" t="s">
        <v>55</v>
      </c>
      <c r="G1" s="22"/>
    </row>
    <row r="2" spans="1:7" x14ac:dyDescent="0.2">
      <c r="A2" s="5"/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0</v>
      </c>
    </row>
    <row r="3" spans="1:7" x14ac:dyDescent="0.2">
      <c r="A3" s="5" t="s">
        <v>43</v>
      </c>
      <c r="B3" s="23">
        <v>2.3412204234122038</v>
      </c>
      <c r="C3" s="24">
        <v>13.163138231631381</v>
      </c>
      <c r="D3" s="25">
        <v>29.17808219178082</v>
      </c>
      <c r="E3" s="26">
        <v>30.560398505603981</v>
      </c>
      <c r="F3" s="27">
        <v>24.75716064757161</v>
      </c>
      <c r="G3" s="28">
        <v>100</v>
      </c>
    </row>
    <row r="4" spans="1:7" x14ac:dyDescent="0.2">
      <c r="A4" s="127"/>
    </row>
    <row r="5" spans="1:7" x14ac:dyDescent="0.2">
      <c r="A5" s="128" t="s">
        <v>1</v>
      </c>
      <c r="B5" s="12">
        <v>1.619433198380567</v>
      </c>
      <c r="C5" s="13">
        <v>14.979757085020241</v>
      </c>
      <c r="D5" s="14">
        <v>31.174089068825911</v>
      </c>
      <c r="E5" s="15">
        <v>27.935222672064778</v>
      </c>
      <c r="F5" s="16">
        <v>24.291497975708499</v>
      </c>
      <c r="G5" s="29">
        <v>100</v>
      </c>
    </row>
    <row r="6" spans="1:7" x14ac:dyDescent="0.2">
      <c r="A6" s="129" t="s">
        <v>5</v>
      </c>
      <c r="B6" s="30">
        <v>1.375752364574377</v>
      </c>
      <c r="C6" s="31">
        <v>9.5442820292347381</v>
      </c>
      <c r="D6" s="32">
        <v>23.817712811693891</v>
      </c>
      <c r="E6" s="33">
        <v>31.90025795356836</v>
      </c>
      <c r="F6" s="34">
        <v>33.361994840928631</v>
      </c>
      <c r="G6" s="35">
        <v>100</v>
      </c>
    </row>
    <row r="7" spans="1:7" x14ac:dyDescent="0.2">
      <c r="A7" s="130" t="s">
        <v>2</v>
      </c>
      <c r="B7" s="36">
        <v>3.0411449016100178</v>
      </c>
      <c r="C7" s="37">
        <v>15.74239713774598</v>
      </c>
      <c r="D7" s="38">
        <v>25.402504472271911</v>
      </c>
      <c r="E7" s="39">
        <v>33.810375670840777</v>
      </c>
      <c r="F7" s="40">
        <v>22.003577817531301</v>
      </c>
      <c r="G7" s="41">
        <v>100</v>
      </c>
    </row>
    <row r="8" spans="1:7" x14ac:dyDescent="0.2">
      <c r="A8" s="131" t="s">
        <v>3</v>
      </c>
      <c r="B8" s="42">
        <v>3.1726512543039842</v>
      </c>
      <c r="C8" s="43">
        <v>16.601082144613869</v>
      </c>
      <c r="D8" s="44">
        <v>34.923757993113632</v>
      </c>
      <c r="E8" s="45">
        <v>27.9636005902607</v>
      </c>
      <c r="F8" s="46">
        <v>17.338908017707819</v>
      </c>
      <c r="G8" s="47">
        <v>100</v>
      </c>
    </row>
    <row r="9" spans="1:7" x14ac:dyDescent="0.2">
      <c r="A9" s="132" t="s">
        <v>4</v>
      </c>
      <c r="B9" s="17">
        <v>1.229508196721312</v>
      </c>
      <c r="C9" s="18">
        <v>7.3770491803278686</v>
      </c>
      <c r="D9" s="19">
        <v>26.639344262295079</v>
      </c>
      <c r="E9" s="20">
        <v>37.295081967213108</v>
      </c>
      <c r="F9" s="21">
        <v>27.459016393442621</v>
      </c>
      <c r="G9" s="48">
        <v>100</v>
      </c>
    </row>
    <row r="10" spans="1:7" x14ac:dyDescent="0.2">
      <c r="A10" s="133" t="s">
        <v>7</v>
      </c>
      <c r="B10" s="49">
        <v>0.9658725048293626</v>
      </c>
      <c r="C10" s="50">
        <v>7.2118480360592399</v>
      </c>
      <c r="D10" s="51">
        <v>20.02575660012878</v>
      </c>
      <c r="E10" s="52">
        <v>33.612363168061812</v>
      </c>
      <c r="F10" s="53">
        <v>38.184159690920801</v>
      </c>
      <c r="G10" s="54">
        <v>100</v>
      </c>
    </row>
    <row r="11" spans="1:7" x14ac:dyDescent="0.2">
      <c r="A11" s="134" t="s">
        <v>6</v>
      </c>
      <c r="B11" s="55">
        <v>2.0202020202020199</v>
      </c>
      <c r="C11" s="56">
        <v>8.0808080808080813</v>
      </c>
      <c r="D11" s="57">
        <v>25.757575757575761</v>
      </c>
      <c r="E11" s="58">
        <v>37.878787878787882</v>
      </c>
      <c r="F11" s="59">
        <v>26.26262626262627</v>
      </c>
      <c r="G11" s="60">
        <v>100</v>
      </c>
    </row>
    <row r="12" spans="1:7" x14ac:dyDescent="0.2">
      <c r="A12" s="135"/>
    </row>
    <row r="13" spans="1:7" x14ac:dyDescent="0.2">
      <c r="A13" s="10" t="s">
        <v>53</v>
      </c>
      <c r="B13" s="61">
        <v>1.9986675549633579</v>
      </c>
      <c r="C13" s="62">
        <v>12.258494337108591</v>
      </c>
      <c r="D13" s="63">
        <v>28.381079280479678</v>
      </c>
      <c r="E13" s="64">
        <v>31.734399289362649</v>
      </c>
      <c r="F13" s="65">
        <v>25.62735953808572</v>
      </c>
      <c r="G13" s="66">
        <v>100</v>
      </c>
    </row>
    <row r="14" spans="1:7" x14ac:dyDescent="0.2">
      <c r="A14" s="10" t="s">
        <v>54</v>
      </c>
      <c r="B14" s="67">
        <v>2.6536312849162011</v>
      </c>
      <c r="C14" s="68">
        <v>14.420391061452509</v>
      </c>
      <c r="D14" s="69">
        <v>30.935754189944142</v>
      </c>
      <c r="E14" s="70">
        <v>28.875698324022348</v>
      </c>
      <c r="F14" s="71">
        <v>23.114525139664799</v>
      </c>
      <c r="G14" s="72">
        <v>100</v>
      </c>
    </row>
    <row r="15" spans="1:7" x14ac:dyDescent="0.2">
      <c r="A15" s="10" t="s">
        <v>52</v>
      </c>
      <c r="B15" s="73">
        <v>3.1100478468899522</v>
      </c>
      <c r="C15" s="74">
        <v>13.8755980861244</v>
      </c>
      <c r="D15" s="75">
        <v>27.511961722488039</v>
      </c>
      <c r="E15" s="76">
        <v>30.62200956937799</v>
      </c>
      <c r="F15" s="77">
        <v>24.880382775119621</v>
      </c>
      <c r="G15" s="78">
        <v>100</v>
      </c>
    </row>
    <row r="16" spans="1:7" x14ac:dyDescent="0.2">
      <c r="A16" s="10" t="s">
        <v>51</v>
      </c>
      <c r="B16" s="79">
        <v>4.7120418848167542</v>
      </c>
      <c r="C16" s="80">
        <v>15.706806282722511</v>
      </c>
      <c r="D16" s="81">
        <v>22.513089005235599</v>
      </c>
      <c r="E16" s="82">
        <v>28.272251308900529</v>
      </c>
      <c r="F16" s="83">
        <v>28.795811518324609</v>
      </c>
      <c r="G16" s="84">
        <v>100</v>
      </c>
    </row>
    <row r="17" spans="1:7" x14ac:dyDescent="0.2">
      <c r="A17" s="10"/>
    </row>
    <row r="18" spans="1:7" x14ac:dyDescent="0.2">
      <c r="A18" s="136" t="s">
        <v>8</v>
      </c>
      <c r="B18" s="85">
        <v>3.340149965916837</v>
      </c>
      <c r="C18" s="86">
        <v>18.404907975460119</v>
      </c>
      <c r="D18" s="87">
        <v>35.719154737559641</v>
      </c>
      <c r="E18" s="88">
        <v>29.24335378323109</v>
      </c>
      <c r="F18" s="89">
        <v>13.292433537832309</v>
      </c>
      <c r="G18" s="90">
        <v>100</v>
      </c>
    </row>
    <row r="19" spans="1:7" x14ac:dyDescent="0.2">
      <c r="A19" s="137" t="s">
        <v>9</v>
      </c>
      <c r="B19" s="91">
        <v>2.9274004683840751</v>
      </c>
      <c r="C19" s="92">
        <v>17.33021077283372</v>
      </c>
      <c r="D19" s="93">
        <v>32.96252927400468</v>
      </c>
      <c r="E19" s="94">
        <v>29.566744730679162</v>
      </c>
      <c r="F19" s="95">
        <v>17.21311475409836</v>
      </c>
      <c r="G19" s="96">
        <v>100</v>
      </c>
    </row>
    <row r="20" spans="1:7" x14ac:dyDescent="0.2">
      <c r="A20" s="138" t="s">
        <v>10</v>
      </c>
      <c r="B20" s="97">
        <v>2.9325513196480939</v>
      </c>
      <c r="C20" s="98">
        <v>14.467253176930599</v>
      </c>
      <c r="D20" s="99">
        <v>30.400782013685241</v>
      </c>
      <c r="E20" s="100">
        <v>30.498533724340181</v>
      </c>
      <c r="F20" s="101">
        <v>21.700879765395889</v>
      </c>
      <c r="G20" s="102">
        <v>100</v>
      </c>
    </row>
    <row r="21" spans="1:7" x14ac:dyDescent="0.2">
      <c r="A21" s="139" t="s">
        <v>11</v>
      </c>
      <c r="B21" s="103">
        <v>1.054852320675105</v>
      </c>
      <c r="C21" s="104">
        <v>14.34599156118143</v>
      </c>
      <c r="D21" s="105">
        <v>30.80168776371308</v>
      </c>
      <c r="E21" s="106">
        <v>33.122362869198312</v>
      </c>
      <c r="F21" s="107">
        <v>20.67510548523207</v>
      </c>
      <c r="G21" s="108">
        <v>100</v>
      </c>
    </row>
    <row r="22" spans="1:7" x14ac:dyDescent="0.2">
      <c r="A22" s="140" t="s">
        <v>12</v>
      </c>
      <c r="B22" s="109">
        <v>1.649928263988522</v>
      </c>
      <c r="C22" s="110">
        <v>6.9583931133428978</v>
      </c>
      <c r="D22" s="111">
        <v>22.812051649928261</v>
      </c>
      <c r="E22" s="112">
        <v>33.787661406025833</v>
      </c>
      <c r="F22" s="113">
        <v>34.791965566714488</v>
      </c>
      <c r="G22" s="114">
        <v>100</v>
      </c>
    </row>
    <row r="23" spans="1:7" x14ac:dyDescent="0.2">
      <c r="A23" s="5" t="s">
        <v>44</v>
      </c>
      <c r="B23" s="115">
        <v>1.0101010101010099</v>
      </c>
      <c r="C23" s="116">
        <v>5.9259259259259256</v>
      </c>
      <c r="D23" s="117">
        <v>17.37373737373737</v>
      </c>
      <c r="E23" s="118">
        <v>31.71717171717172</v>
      </c>
      <c r="F23" s="119">
        <v>43.973063973063972</v>
      </c>
      <c r="G23" s="120">
        <v>100</v>
      </c>
    </row>
    <row r="24" spans="1:7" x14ac:dyDescent="0.2">
      <c r="A24" s="141" t="s">
        <v>13</v>
      </c>
      <c r="B24" s="121">
        <v>3.3557046979865768</v>
      </c>
      <c r="C24" s="122">
        <v>19.686800894854581</v>
      </c>
      <c r="D24" s="123">
        <v>46.979865771812079</v>
      </c>
      <c r="E24" s="124">
        <v>21.476510067114091</v>
      </c>
      <c r="F24" s="125">
        <v>8.5011185682326627</v>
      </c>
      <c r="G24" s="126">
        <v>100</v>
      </c>
    </row>
    <row r="25" spans="1:7" x14ac:dyDescent="0.2">
      <c r="A25" s="14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D0EE1-D47C-8E46-A82E-56FC256A6245}">
  <dimension ref="A1:G25"/>
  <sheetViews>
    <sheetView workbookViewId="0">
      <selection activeCell="A3" sqref="A3"/>
    </sheetView>
  </sheetViews>
  <sheetFormatPr baseColWidth="10" defaultRowHeight="15" x14ac:dyDescent="0.2"/>
  <cols>
    <col min="1" max="1" width="43.5" style="144" customWidth="1"/>
    <col min="2" max="16384" width="10.83203125" style="8"/>
  </cols>
  <sheetData>
    <row r="1" spans="1:7" x14ac:dyDescent="0.2">
      <c r="A1" s="143"/>
      <c r="D1" s="1" t="s">
        <v>45</v>
      </c>
      <c r="G1" s="5"/>
    </row>
    <row r="2" spans="1:7" x14ac:dyDescent="0.2">
      <c r="A2" s="10"/>
      <c r="B2" s="4" t="s">
        <v>14</v>
      </c>
      <c r="C2" s="4" t="s">
        <v>15</v>
      </c>
      <c r="D2" s="4" t="s">
        <v>16</v>
      </c>
      <c r="E2" s="4" t="s">
        <v>17</v>
      </c>
      <c r="F2" s="4" t="s">
        <v>18</v>
      </c>
      <c r="G2" s="4" t="s">
        <v>0</v>
      </c>
    </row>
    <row r="3" spans="1:7" x14ac:dyDescent="0.2">
      <c r="A3" s="5" t="s">
        <v>43</v>
      </c>
      <c r="B3" s="3">
        <v>8.2523061580653199</v>
      </c>
      <c r="C3" s="3">
        <v>21.37870855148342</v>
      </c>
      <c r="D3" s="3">
        <v>33.994016454749428</v>
      </c>
      <c r="E3" s="3">
        <v>24.707055597107949</v>
      </c>
      <c r="F3" s="3">
        <v>11.66791323859387</v>
      </c>
      <c r="G3" s="3">
        <v>100</v>
      </c>
    </row>
    <row r="4" spans="1:7" x14ac:dyDescent="0.2">
      <c r="A4" s="10"/>
    </row>
    <row r="5" spans="1:7" x14ac:dyDescent="0.2">
      <c r="A5" s="10" t="s">
        <v>1</v>
      </c>
      <c r="B5" s="2">
        <v>9.3117408906882595</v>
      </c>
      <c r="C5" s="2">
        <v>17.40890688259109</v>
      </c>
      <c r="D5" s="2">
        <v>34.008097165991899</v>
      </c>
      <c r="E5" s="2">
        <v>27.530364372469631</v>
      </c>
      <c r="F5" s="2">
        <v>11.74089068825911</v>
      </c>
      <c r="G5" s="3">
        <v>100</v>
      </c>
    </row>
    <row r="6" spans="1:7" x14ac:dyDescent="0.2">
      <c r="A6" s="10" t="s">
        <v>5</v>
      </c>
      <c r="B6" s="2">
        <v>7.4870912220309807</v>
      </c>
      <c r="C6" s="2">
        <v>22.289156626506021</v>
      </c>
      <c r="D6" s="2">
        <v>34.681583476764203</v>
      </c>
      <c r="E6" s="2">
        <v>24.870912220309808</v>
      </c>
      <c r="F6" s="2">
        <v>10.671256454388979</v>
      </c>
      <c r="G6" s="3">
        <v>100</v>
      </c>
    </row>
    <row r="7" spans="1:7" x14ac:dyDescent="0.2">
      <c r="A7" s="10" t="s">
        <v>2</v>
      </c>
      <c r="B7" s="2">
        <v>8.9605734767025087</v>
      </c>
      <c r="C7" s="2">
        <v>19.713261648745519</v>
      </c>
      <c r="D7" s="2">
        <v>29.928315412186379</v>
      </c>
      <c r="E7" s="2">
        <v>24.193548387096779</v>
      </c>
      <c r="F7" s="2">
        <v>17.20430107526882</v>
      </c>
      <c r="G7" s="3">
        <v>100</v>
      </c>
    </row>
    <row r="8" spans="1:7" x14ac:dyDescent="0.2">
      <c r="A8" s="10" t="s">
        <v>3</v>
      </c>
      <c r="B8" s="2">
        <v>8.3230731346958873</v>
      </c>
      <c r="C8" s="2">
        <v>22.629894114750059</v>
      </c>
      <c r="D8" s="2">
        <v>34.031026840679637</v>
      </c>
      <c r="E8" s="2">
        <v>24.082738241812361</v>
      </c>
      <c r="F8" s="2">
        <v>10.933267668062051</v>
      </c>
      <c r="G8" s="3">
        <v>100</v>
      </c>
    </row>
    <row r="9" spans="1:7" x14ac:dyDescent="0.2">
      <c r="A9" s="10" t="s">
        <v>4</v>
      </c>
      <c r="B9" s="2">
        <v>6.1475409836065573</v>
      </c>
      <c r="C9" s="2">
        <v>18.852459016393439</v>
      </c>
      <c r="D9" s="2">
        <v>40.57377049180328</v>
      </c>
      <c r="E9" s="2">
        <v>21.31147540983606</v>
      </c>
      <c r="F9" s="2">
        <v>13.11475409836066</v>
      </c>
      <c r="G9" s="3">
        <v>100</v>
      </c>
    </row>
    <row r="10" spans="1:7" x14ac:dyDescent="0.2">
      <c r="A10" s="10" t="s">
        <v>7</v>
      </c>
      <c r="B10" s="2">
        <v>8.3118556701030926</v>
      </c>
      <c r="C10" s="2">
        <v>19.71649484536082</v>
      </c>
      <c r="D10" s="2">
        <v>34.27835051546392</v>
      </c>
      <c r="E10" s="2">
        <v>26.03092783505155</v>
      </c>
      <c r="F10" s="2">
        <v>11.662371134020621</v>
      </c>
      <c r="G10" s="3">
        <v>100</v>
      </c>
    </row>
    <row r="11" spans="1:7" x14ac:dyDescent="0.2">
      <c r="A11" s="10" t="s">
        <v>6</v>
      </c>
      <c r="B11" s="2">
        <v>10.1010101010101</v>
      </c>
      <c r="C11" s="2">
        <v>16.161616161616159</v>
      </c>
      <c r="D11" s="2">
        <v>30.303030303030301</v>
      </c>
      <c r="E11" s="2">
        <v>28.28282828282828</v>
      </c>
      <c r="F11" s="2">
        <v>15.15151515151515</v>
      </c>
      <c r="G11" s="3">
        <v>100</v>
      </c>
    </row>
    <row r="12" spans="1:7" x14ac:dyDescent="0.2">
      <c r="A12" s="10"/>
    </row>
    <row r="13" spans="1:7" x14ac:dyDescent="0.2">
      <c r="A13" s="10" t="s">
        <v>49</v>
      </c>
      <c r="B13" s="2">
        <v>8.2666666666666657</v>
      </c>
      <c r="C13" s="2">
        <v>22.266666666666669</v>
      </c>
      <c r="D13" s="2">
        <v>34.333333333333343</v>
      </c>
      <c r="E13" s="2">
        <v>24.62222222222222</v>
      </c>
      <c r="F13" s="2">
        <v>10.511111111111109</v>
      </c>
      <c r="G13" s="3">
        <v>100</v>
      </c>
    </row>
    <row r="14" spans="1:7" x14ac:dyDescent="0.2">
      <c r="A14" s="10" t="s">
        <v>50</v>
      </c>
      <c r="B14" s="2">
        <v>6.7832167832167833</v>
      </c>
      <c r="C14" s="2">
        <v>18.74125874125874</v>
      </c>
      <c r="D14" s="2">
        <v>33.21678321678322</v>
      </c>
      <c r="E14" s="2">
        <v>26.60839160839161</v>
      </c>
      <c r="F14" s="2">
        <v>14.65034965034965</v>
      </c>
      <c r="G14" s="3">
        <v>100</v>
      </c>
    </row>
    <row r="15" spans="1:7" x14ac:dyDescent="0.2">
      <c r="A15" s="10" t="s">
        <v>52</v>
      </c>
      <c r="B15" s="2">
        <v>15.55023923444976</v>
      </c>
      <c r="C15" s="2">
        <v>28.4688995215311</v>
      </c>
      <c r="D15" s="2">
        <v>35.167464114832534</v>
      </c>
      <c r="E15" s="2">
        <v>15.07177033492823</v>
      </c>
      <c r="F15" s="2">
        <v>5.741626794258373</v>
      </c>
      <c r="G15" s="3">
        <v>100</v>
      </c>
    </row>
    <row r="16" spans="1:7" x14ac:dyDescent="0.2">
      <c r="A16" s="10" t="s">
        <v>51</v>
      </c>
      <c r="B16" s="2">
        <v>16.315789473684209</v>
      </c>
      <c r="C16" s="2">
        <v>27.368421052631579</v>
      </c>
      <c r="D16" s="2">
        <v>31.05263157894737</v>
      </c>
      <c r="E16" s="2">
        <v>15.789473684210529</v>
      </c>
      <c r="F16" s="2">
        <v>9.4736842105263168</v>
      </c>
      <c r="G16" s="3">
        <v>100</v>
      </c>
    </row>
    <row r="17" spans="1:7" x14ac:dyDescent="0.2">
      <c r="A17" s="10"/>
    </row>
    <row r="18" spans="1:7" x14ac:dyDescent="0.2">
      <c r="A18" s="136" t="s">
        <v>8</v>
      </c>
      <c r="B18" s="2">
        <v>8.8114754098360653</v>
      </c>
      <c r="C18" s="2">
        <v>23.838797814207648</v>
      </c>
      <c r="D18" s="2">
        <v>34.084699453551913</v>
      </c>
      <c r="E18" s="2">
        <v>23.56557377049181</v>
      </c>
      <c r="F18" s="2">
        <v>9.6994535519125673</v>
      </c>
      <c r="G18" s="3">
        <v>100</v>
      </c>
    </row>
    <row r="19" spans="1:7" x14ac:dyDescent="0.2">
      <c r="A19" s="137" t="s">
        <v>9</v>
      </c>
      <c r="B19" s="2">
        <v>8.6701816051552427</v>
      </c>
      <c r="C19" s="2">
        <v>22.437024018746339</v>
      </c>
      <c r="D19" s="2">
        <v>32.68892794376098</v>
      </c>
      <c r="E19" s="2">
        <v>24.194493263034559</v>
      </c>
      <c r="F19" s="2">
        <v>12.00937316930287</v>
      </c>
      <c r="G19" s="3">
        <v>100</v>
      </c>
    </row>
    <row r="20" spans="1:7" x14ac:dyDescent="0.2">
      <c r="A20" s="138" t="s">
        <v>10</v>
      </c>
      <c r="B20" s="2">
        <v>9.67741935483871</v>
      </c>
      <c r="C20" s="2">
        <v>22.67839687194526</v>
      </c>
      <c r="D20" s="2">
        <v>34.995112414467258</v>
      </c>
      <c r="E20" s="2">
        <v>20.918866080156398</v>
      </c>
      <c r="F20" s="2">
        <v>11.730205278592379</v>
      </c>
      <c r="G20" s="3">
        <v>100</v>
      </c>
    </row>
    <row r="21" spans="1:7" x14ac:dyDescent="0.2">
      <c r="A21" s="139" t="s">
        <v>11</v>
      </c>
      <c r="B21" s="2">
        <v>8.0168776371308024</v>
      </c>
      <c r="C21" s="2">
        <v>19.62025316455696</v>
      </c>
      <c r="D21" s="2">
        <v>33.333333333333329</v>
      </c>
      <c r="E21" s="2">
        <v>27.215189873417721</v>
      </c>
      <c r="F21" s="2">
        <v>11.814345991561179</v>
      </c>
      <c r="G21" s="3">
        <v>100</v>
      </c>
    </row>
    <row r="22" spans="1:7" x14ac:dyDescent="0.2">
      <c r="A22" s="140" t="s">
        <v>12</v>
      </c>
      <c r="B22" s="2">
        <v>7.2505384063173013</v>
      </c>
      <c r="C22" s="2">
        <v>18.52117731514716</v>
      </c>
      <c r="D22" s="2">
        <v>32.376166547020823</v>
      </c>
      <c r="E22" s="2">
        <v>28.571428571428569</v>
      </c>
      <c r="F22" s="2">
        <v>13.280689160086149</v>
      </c>
      <c r="G22" s="3">
        <v>100</v>
      </c>
    </row>
    <row r="23" spans="1:7" x14ac:dyDescent="0.2">
      <c r="A23" s="5" t="s">
        <v>44</v>
      </c>
      <c r="B23" s="2">
        <v>7.4797843665768191</v>
      </c>
      <c r="C23" s="2">
        <v>19.609164420485179</v>
      </c>
      <c r="D23" s="2">
        <v>34.097035040431273</v>
      </c>
      <c r="E23" s="2">
        <v>26.415094339622641</v>
      </c>
      <c r="F23" s="2">
        <v>12.398921832884101</v>
      </c>
      <c r="G23" s="3">
        <v>100</v>
      </c>
    </row>
    <row r="24" spans="1:7" x14ac:dyDescent="0.2">
      <c r="A24" s="141" t="s">
        <v>13</v>
      </c>
      <c r="B24" s="2">
        <v>7.8475336322869964</v>
      </c>
      <c r="C24" s="2">
        <v>24.215246636771301</v>
      </c>
      <c r="D24" s="2">
        <v>41.255605381165921</v>
      </c>
      <c r="E24" s="2">
        <v>17.04035874439462</v>
      </c>
      <c r="F24" s="2">
        <v>9.6412556053811667</v>
      </c>
      <c r="G24" s="3">
        <v>100</v>
      </c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8469-D5A4-8B49-9280-0F90459350B4}">
  <dimension ref="A1:F25"/>
  <sheetViews>
    <sheetView workbookViewId="0">
      <selection activeCell="A3" sqref="A3"/>
    </sheetView>
  </sheetViews>
  <sheetFormatPr baseColWidth="10" defaultRowHeight="15" x14ac:dyDescent="0.2"/>
  <cols>
    <col min="1" max="1" width="40.6640625" style="144" customWidth="1"/>
    <col min="2" max="3" width="10.83203125" style="8"/>
    <col min="4" max="4" width="11.6640625" style="8" customWidth="1"/>
    <col min="5" max="5" width="13.33203125" style="8" bestFit="1" customWidth="1"/>
    <col min="6" max="16384" width="10.83203125" style="8"/>
  </cols>
  <sheetData>
    <row r="1" spans="1:6" x14ac:dyDescent="0.2">
      <c r="A1" s="143"/>
      <c r="B1" s="5" t="s">
        <v>46</v>
      </c>
      <c r="C1" s="5"/>
      <c r="D1" s="5"/>
      <c r="F1" s="5"/>
    </row>
    <row r="2" spans="1:6" x14ac:dyDescent="0.2">
      <c r="A2" s="10"/>
      <c r="B2" s="4" t="s">
        <v>19</v>
      </c>
      <c r="C2" s="4" t="s">
        <v>20</v>
      </c>
      <c r="D2" s="4" t="s">
        <v>21</v>
      </c>
      <c r="E2" s="4" t="s">
        <v>22</v>
      </c>
      <c r="F2" s="4" t="s">
        <v>0</v>
      </c>
    </row>
    <row r="3" spans="1:6" x14ac:dyDescent="0.2">
      <c r="A3" s="5" t="s">
        <v>43</v>
      </c>
      <c r="B3" s="3">
        <v>76.758982035928142</v>
      </c>
      <c r="C3" s="3">
        <v>10.31686626746507</v>
      </c>
      <c r="D3" s="3">
        <v>9.0568862275449113</v>
      </c>
      <c r="E3" s="3">
        <v>3.8672654690618771</v>
      </c>
      <c r="F3" s="3">
        <v>100</v>
      </c>
    </row>
    <row r="4" spans="1:6" x14ac:dyDescent="0.2">
      <c r="A4" s="10"/>
    </row>
    <row r="5" spans="1:6" x14ac:dyDescent="0.2">
      <c r="A5" s="10" t="s">
        <v>1</v>
      </c>
      <c r="B5" s="2">
        <v>67.073170731707322</v>
      </c>
      <c r="C5" s="2">
        <v>14.63414634146341</v>
      </c>
      <c r="D5" s="2">
        <v>8.9430894308943092</v>
      </c>
      <c r="E5" s="2">
        <v>9.3495934959349594</v>
      </c>
      <c r="F5" s="3">
        <v>100</v>
      </c>
    </row>
    <row r="6" spans="1:6" x14ac:dyDescent="0.2">
      <c r="A6" s="10" t="s">
        <v>5</v>
      </c>
      <c r="B6" s="2">
        <v>80.792420327304043</v>
      </c>
      <c r="C6" s="2">
        <v>9.6468561584840664</v>
      </c>
      <c r="D6" s="2">
        <v>7.2351421188630489</v>
      </c>
      <c r="E6" s="2">
        <v>2.3255813953488369</v>
      </c>
      <c r="F6" s="3">
        <v>100</v>
      </c>
    </row>
    <row r="7" spans="1:6" x14ac:dyDescent="0.2">
      <c r="A7" s="10" t="s">
        <v>2</v>
      </c>
      <c r="B7" s="2">
        <v>75.403949730700177</v>
      </c>
      <c r="C7" s="2">
        <v>8.6175942549371634</v>
      </c>
      <c r="D7" s="2">
        <v>10.053859964093361</v>
      </c>
      <c r="E7" s="2">
        <v>5.9245960502693</v>
      </c>
      <c r="F7" s="3">
        <v>100</v>
      </c>
    </row>
    <row r="8" spans="1:6" x14ac:dyDescent="0.2">
      <c r="A8" s="10" t="s">
        <v>3</v>
      </c>
      <c r="B8" s="2">
        <v>78.975873953717382</v>
      </c>
      <c r="C8" s="2">
        <v>9.5027080256031518</v>
      </c>
      <c r="D8" s="2">
        <v>8.2964057114721808</v>
      </c>
      <c r="E8" s="2">
        <v>3.2250123092072869</v>
      </c>
      <c r="F8" s="3">
        <v>100</v>
      </c>
    </row>
    <row r="9" spans="1:6" x14ac:dyDescent="0.2">
      <c r="A9" s="10" t="s">
        <v>4</v>
      </c>
      <c r="B9" s="2">
        <v>66.666666666666657</v>
      </c>
      <c r="C9" s="2">
        <v>14.403292181069959</v>
      </c>
      <c r="D9" s="2">
        <v>14.403292181069959</v>
      </c>
      <c r="E9" s="2">
        <v>4.5267489711934159</v>
      </c>
      <c r="F9" s="3">
        <v>100</v>
      </c>
    </row>
    <row r="10" spans="1:6" x14ac:dyDescent="0.2">
      <c r="A10" s="10" t="s">
        <v>7</v>
      </c>
      <c r="B10" s="2">
        <v>71.788250484183351</v>
      </c>
      <c r="C10" s="2">
        <v>12.330535829567459</v>
      </c>
      <c r="D10" s="2">
        <v>10.781149128469981</v>
      </c>
      <c r="E10" s="2">
        <v>5.1000645577792127</v>
      </c>
      <c r="F10" s="3">
        <v>100</v>
      </c>
    </row>
    <row r="11" spans="1:6" x14ac:dyDescent="0.2">
      <c r="A11" s="10" t="s">
        <v>6</v>
      </c>
      <c r="B11" s="2">
        <v>74.747474747474755</v>
      </c>
      <c r="C11" s="2">
        <v>9.5959595959595951</v>
      </c>
      <c r="D11" s="2">
        <v>12.62626262626263</v>
      </c>
      <c r="E11" s="2">
        <v>3.0303030303030298</v>
      </c>
      <c r="F11" s="3">
        <v>100</v>
      </c>
    </row>
    <row r="12" spans="1:6" ht="20" customHeight="1" x14ac:dyDescent="0.2">
      <c r="A12" s="10"/>
    </row>
    <row r="13" spans="1:6" x14ac:dyDescent="0.2">
      <c r="A13" s="10" t="s">
        <v>49</v>
      </c>
      <c r="B13" s="2">
        <v>75.361352012452741</v>
      </c>
      <c r="C13" s="2">
        <v>11.051812319323989</v>
      </c>
      <c r="D13" s="2">
        <v>10.140093395597059</v>
      </c>
      <c r="E13" s="2">
        <v>3.4467422726261949</v>
      </c>
      <c r="F13" s="3">
        <v>100</v>
      </c>
    </row>
    <row r="14" spans="1:6" x14ac:dyDescent="0.2">
      <c r="A14" s="10" t="s">
        <v>50</v>
      </c>
      <c r="B14" s="2">
        <v>83.531468531468533</v>
      </c>
      <c r="C14" s="2">
        <v>8.3566433566433567</v>
      </c>
      <c r="D14" s="2">
        <v>5</v>
      </c>
      <c r="E14" s="2">
        <v>3.1118881118881121</v>
      </c>
      <c r="F14" s="3">
        <v>100</v>
      </c>
    </row>
    <row r="15" spans="1:6" x14ac:dyDescent="0.2">
      <c r="A15" s="10" t="s">
        <v>52</v>
      </c>
      <c r="B15" s="2">
        <v>51.798561151079127</v>
      </c>
      <c r="C15" s="2">
        <v>13.908872901678659</v>
      </c>
      <c r="D15" s="2">
        <v>23.741007194244599</v>
      </c>
      <c r="E15" s="2">
        <v>10.5515587529976</v>
      </c>
      <c r="F15" s="3">
        <v>100</v>
      </c>
    </row>
    <row r="16" spans="1:6" x14ac:dyDescent="0.2">
      <c r="A16" s="10" t="s">
        <v>51</v>
      </c>
      <c r="B16" s="2">
        <v>63.297872340425528</v>
      </c>
      <c r="C16" s="2">
        <v>13.82978723404255</v>
      </c>
      <c r="D16" s="2">
        <v>11.702127659574471</v>
      </c>
      <c r="E16" s="2">
        <v>11.17021276595745</v>
      </c>
      <c r="F16" s="3">
        <v>100</v>
      </c>
    </row>
    <row r="17" spans="1:6" x14ac:dyDescent="0.2">
      <c r="A17" s="10"/>
    </row>
    <row r="18" spans="1:6" x14ac:dyDescent="0.2">
      <c r="A18" s="136" t="s">
        <v>8</v>
      </c>
      <c r="B18" s="2">
        <v>80.572597137014313</v>
      </c>
      <c r="C18" s="2">
        <v>9.2024539877300615</v>
      </c>
      <c r="D18" s="2">
        <v>7.6346284935241986</v>
      </c>
      <c r="E18" s="2">
        <v>2.5903203817314249</v>
      </c>
      <c r="F18" s="3">
        <v>100</v>
      </c>
    </row>
    <row r="19" spans="1:6" x14ac:dyDescent="0.2">
      <c r="A19" s="137" t="s">
        <v>9</v>
      </c>
      <c r="B19" s="2">
        <v>77.387229056824836</v>
      </c>
      <c r="C19" s="2">
        <v>10.36906854130053</v>
      </c>
      <c r="D19" s="2">
        <v>9.0216754540128878</v>
      </c>
      <c r="E19" s="2">
        <v>3.222026947861746</v>
      </c>
      <c r="F19" s="3">
        <v>100</v>
      </c>
    </row>
    <row r="20" spans="1:6" x14ac:dyDescent="0.2">
      <c r="A20" s="138" t="s">
        <v>10</v>
      </c>
      <c r="B20" s="2">
        <v>74.779195289499512</v>
      </c>
      <c r="C20" s="2">
        <v>8.8321884200196266</v>
      </c>
      <c r="D20" s="2">
        <v>11.579980372914619</v>
      </c>
      <c r="E20" s="2">
        <v>4.8086359175662414</v>
      </c>
      <c r="F20" s="3">
        <v>100</v>
      </c>
    </row>
    <row r="21" spans="1:6" x14ac:dyDescent="0.2">
      <c r="A21" s="139" t="s">
        <v>11</v>
      </c>
      <c r="B21" s="2">
        <v>74.630021141649053</v>
      </c>
      <c r="C21" s="2">
        <v>11.41649048625793</v>
      </c>
      <c r="D21" s="2">
        <v>9.3023255813953494</v>
      </c>
      <c r="E21" s="2">
        <v>4.6511627906976747</v>
      </c>
      <c r="F21" s="3">
        <v>100</v>
      </c>
    </row>
    <row r="22" spans="1:6" x14ac:dyDescent="0.2">
      <c r="A22" s="140" t="s">
        <v>12</v>
      </c>
      <c r="B22" s="2">
        <v>75.557153127246593</v>
      </c>
      <c r="C22" s="2">
        <v>11.574406901509709</v>
      </c>
      <c r="D22" s="2">
        <v>8.6268871315600286</v>
      </c>
      <c r="E22" s="2">
        <v>4.2415528396836804</v>
      </c>
      <c r="F22" s="3">
        <v>100</v>
      </c>
    </row>
    <row r="23" spans="1:6" x14ac:dyDescent="0.2">
      <c r="A23" s="5" t="s">
        <v>44</v>
      </c>
      <c r="B23" s="2">
        <v>74.39353099730458</v>
      </c>
      <c r="C23" s="2">
        <v>11.18598382749326</v>
      </c>
      <c r="D23" s="2">
        <v>9.770889487870619</v>
      </c>
      <c r="E23" s="2">
        <v>4.6495956873315363</v>
      </c>
      <c r="F23" s="3">
        <v>100</v>
      </c>
    </row>
    <row r="24" spans="1:6" x14ac:dyDescent="0.2">
      <c r="A24" s="141" t="s">
        <v>13</v>
      </c>
      <c r="B24" s="2">
        <v>80.269058295964129</v>
      </c>
      <c r="C24" s="2">
        <v>8.7443946188340806</v>
      </c>
      <c r="D24" s="2">
        <v>6.7264573991031389</v>
      </c>
      <c r="E24" s="2">
        <v>4.2600896860986541</v>
      </c>
      <c r="F24" s="3">
        <v>100</v>
      </c>
    </row>
    <row r="25" spans="1:6" x14ac:dyDescent="0.2">
      <c r="A25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C1514-21A8-F841-A034-3D1D710571A8}">
  <dimension ref="A1:E16"/>
  <sheetViews>
    <sheetView workbookViewId="0">
      <selection activeCell="B13" sqref="B13:B16"/>
    </sheetView>
  </sheetViews>
  <sheetFormatPr baseColWidth="10" defaultRowHeight="15" x14ac:dyDescent="0.2"/>
  <cols>
    <col min="1" max="1" width="2.83203125" customWidth="1"/>
    <col min="2" max="2" width="41.5" bestFit="1" customWidth="1"/>
  </cols>
  <sheetData>
    <row r="1" spans="1:5" x14ac:dyDescent="0.2">
      <c r="B1" s="7"/>
      <c r="C1" s="190" t="s">
        <v>48</v>
      </c>
      <c r="D1" s="190"/>
      <c r="E1" s="190"/>
    </row>
    <row r="2" spans="1:5" x14ac:dyDescent="0.2">
      <c r="B2" s="9" t="s">
        <v>23</v>
      </c>
      <c r="C2" s="150" t="s">
        <v>24</v>
      </c>
      <c r="D2" s="150" t="s">
        <v>25</v>
      </c>
      <c r="E2" s="150" t="s">
        <v>26</v>
      </c>
    </row>
    <row r="3" spans="1:5" x14ac:dyDescent="0.2">
      <c r="A3" s="187" t="s">
        <v>47</v>
      </c>
      <c r="B3" s="187"/>
      <c r="C3" s="146">
        <v>0.32600000000000001</v>
      </c>
      <c r="D3" s="146">
        <v>0.51200000000000001</v>
      </c>
      <c r="E3" s="146">
        <v>0.127</v>
      </c>
    </row>
    <row r="4" spans="1:5" x14ac:dyDescent="0.2">
      <c r="A4" s="188" t="s">
        <v>42</v>
      </c>
      <c r="B4" s="188"/>
      <c r="C4" s="147"/>
      <c r="D4" s="147"/>
      <c r="E4" s="147"/>
    </row>
    <row r="5" spans="1:5" x14ac:dyDescent="0.2">
      <c r="B5" s="6" t="s">
        <v>1</v>
      </c>
      <c r="C5" s="148">
        <v>0.45700000000000002</v>
      </c>
      <c r="D5" s="148">
        <v>0.63</v>
      </c>
      <c r="E5" s="148">
        <v>8.6999999999999994E-2</v>
      </c>
    </row>
    <row r="6" spans="1:5" x14ac:dyDescent="0.2">
      <c r="B6" s="6" t="s">
        <v>29</v>
      </c>
      <c r="C6" s="148">
        <v>0.28499999999999998</v>
      </c>
      <c r="D6" s="148">
        <v>0.66900000000000004</v>
      </c>
      <c r="E6" s="148">
        <v>0.108</v>
      </c>
    </row>
    <row r="7" spans="1:5" x14ac:dyDescent="0.2">
      <c r="B7" s="6" t="s">
        <v>2</v>
      </c>
      <c r="C7" s="148">
        <v>0.19600000000000001</v>
      </c>
      <c r="D7" s="148">
        <v>0.83299999999999996</v>
      </c>
      <c r="E7" s="148">
        <v>5.8799999999999998E-2</v>
      </c>
    </row>
    <row r="8" spans="1:5" x14ac:dyDescent="0.2">
      <c r="B8" s="6" t="s">
        <v>27</v>
      </c>
      <c r="C8" s="148">
        <v>0.29899999999999999</v>
      </c>
      <c r="D8" s="148">
        <v>0.48799999999999999</v>
      </c>
      <c r="E8" s="148">
        <v>0.109</v>
      </c>
    </row>
    <row r="9" spans="1:5" x14ac:dyDescent="0.2">
      <c r="B9" s="6" t="s">
        <v>28</v>
      </c>
      <c r="C9" s="148">
        <v>0.25</v>
      </c>
      <c r="D9" s="148">
        <v>0.76900000000000002</v>
      </c>
      <c r="E9" s="148">
        <v>5.7700000000000001E-2</v>
      </c>
    </row>
    <row r="10" spans="1:5" x14ac:dyDescent="0.2">
      <c r="B10" s="6" t="s">
        <v>31</v>
      </c>
      <c r="C10" s="148">
        <v>0.498</v>
      </c>
      <c r="D10" s="148">
        <v>0.20899999999999999</v>
      </c>
      <c r="E10" s="148">
        <v>0.189</v>
      </c>
    </row>
    <row r="11" spans="1:5" x14ac:dyDescent="0.2">
      <c r="A11" s="11"/>
      <c r="B11" s="145" t="s">
        <v>30</v>
      </c>
      <c r="C11" s="149">
        <v>0.185</v>
      </c>
      <c r="D11" s="149">
        <v>0.59299999999999997</v>
      </c>
      <c r="E11" s="149">
        <v>0.37</v>
      </c>
    </row>
    <row r="12" spans="1:5" x14ac:dyDescent="0.2">
      <c r="A12" s="189" t="s">
        <v>24</v>
      </c>
      <c r="B12" s="189"/>
      <c r="C12" s="147"/>
      <c r="D12" s="147"/>
      <c r="E12" s="147"/>
    </row>
    <row r="13" spans="1:5" x14ac:dyDescent="0.2">
      <c r="B13" s="10" t="s">
        <v>49</v>
      </c>
      <c r="C13" s="148">
        <v>0.29499999999999998</v>
      </c>
      <c r="D13" s="148">
        <v>0.54100000000000004</v>
      </c>
      <c r="E13" s="148">
        <v>0.13700000000000001</v>
      </c>
    </row>
    <row r="14" spans="1:5" x14ac:dyDescent="0.2">
      <c r="B14" s="10" t="s">
        <v>50</v>
      </c>
      <c r="C14" s="148">
        <v>8.3299999999999999E-2</v>
      </c>
      <c r="D14" s="148">
        <v>0.66300000000000003</v>
      </c>
      <c r="E14" s="148">
        <v>0.16300000000000001</v>
      </c>
    </row>
    <row r="15" spans="1:5" x14ac:dyDescent="0.2">
      <c r="B15" s="10" t="s">
        <v>52</v>
      </c>
      <c r="C15" s="148">
        <v>0.78</v>
      </c>
      <c r="D15" s="148">
        <v>0.252</v>
      </c>
      <c r="E15" s="148">
        <v>5.6599999999999998E-2</v>
      </c>
    </row>
    <row r="16" spans="1:5" x14ac:dyDescent="0.2">
      <c r="A16" s="11"/>
      <c r="B16" s="10" t="s">
        <v>51</v>
      </c>
      <c r="C16" s="149">
        <v>0.51200000000000001</v>
      </c>
      <c r="D16" s="149">
        <v>0.25600000000000001</v>
      </c>
      <c r="E16" s="149">
        <v>2.3300000000000001E-2</v>
      </c>
    </row>
  </sheetData>
  <mergeCells count="4">
    <mergeCell ref="A3:B3"/>
    <mergeCell ref="A4:B4"/>
    <mergeCell ref="A12:B12"/>
    <mergeCell ref="C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622F6-228D-7040-8C21-D56710FD2AE1}">
  <dimension ref="A1:G25"/>
  <sheetViews>
    <sheetView topLeftCell="A3" workbookViewId="0">
      <selection activeCell="A13" sqref="A13:A14"/>
    </sheetView>
  </sheetViews>
  <sheetFormatPr baseColWidth="10" defaultColWidth="49" defaultRowHeight="15" x14ac:dyDescent="0.2"/>
  <cols>
    <col min="1" max="1" width="40.1640625" style="144" customWidth="1"/>
    <col min="2" max="7" width="12.83203125" style="8" customWidth="1"/>
    <col min="8" max="16384" width="49" style="8"/>
  </cols>
  <sheetData>
    <row r="1" spans="1:7" x14ac:dyDescent="0.2">
      <c r="A1" s="143"/>
      <c r="D1" s="1" t="s">
        <v>32</v>
      </c>
      <c r="G1" s="5"/>
    </row>
    <row r="2" spans="1:7" x14ac:dyDescent="0.2">
      <c r="A2" s="10"/>
      <c r="B2" s="4" t="s">
        <v>33</v>
      </c>
      <c r="C2" s="4" t="s">
        <v>34</v>
      </c>
      <c r="D2" s="4" t="s">
        <v>35</v>
      </c>
      <c r="E2" s="4" t="s">
        <v>36</v>
      </c>
      <c r="F2" s="4" t="s">
        <v>37</v>
      </c>
      <c r="G2" s="4" t="s">
        <v>0</v>
      </c>
    </row>
    <row r="3" spans="1:7" x14ac:dyDescent="0.2">
      <c r="A3" s="5" t="s">
        <v>43</v>
      </c>
      <c r="B3" s="3">
        <v>2.5961058412381428</v>
      </c>
      <c r="C3" s="3">
        <v>4.8552171742386419</v>
      </c>
      <c r="D3" s="3">
        <v>12.86819770344483</v>
      </c>
      <c r="E3" s="3">
        <v>39.603095356964552</v>
      </c>
      <c r="F3" s="3">
        <v>40.077383924113832</v>
      </c>
      <c r="G3" s="3">
        <v>100</v>
      </c>
    </row>
    <row r="4" spans="1:7" x14ac:dyDescent="0.2">
      <c r="A4" s="10"/>
    </row>
    <row r="5" spans="1:7" x14ac:dyDescent="0.2">
      <c r="A5" s="10" t="s">
        <v>1</v>
      </c>
      <c r="B5" s="2">
        <v>4.048582995951417</v>
      </c>
      <c r="C5" s="2">
        <v>4.4534412955465594</v>
      </c>
      <c r="D5" s="2">
        <v>10.52631578947368</v>
      </c>
      <c r="E5" s="2">
        <v>40.08097165991903</v>
      </c>
      <c r="F5" s="2">
        <v>40.890688259109311</v>
      </c>
      <c r="G5" s="4">
        <v>247</v>
      </c>
    </row>
    <row r="6" spans="1:7" x14ac:dyDescent="0.2">
      <c r="A6" s="10" t="s">
        <v>5</v>
      </c>
      <c r="B6" s="2">
        <v>2.1551724137931041</v>
      </c>
      <c r="C6" s="2">
        <v>4.9137931034482758</v>
      </c>
      <c r="D6" s="2">
        <v>13.18965517241379</v>
      </c>
      <c r="E6" s="2">
        <v>42.758620689655167</v>
      </c>
      <c r="F6" s="2">
        <v>36.982758620689651</v>
      </c>
      <c r="G6" s="3">
        <v>100</v>
      </c>
    </row>
    <row r="7" spans="1:7" x14ac:dyDescent="0.2">
      <c r="A7" s="10" t="s">
        <v>2</v>
      </c>
      <c r="B7" s="2">
        <v>3.2374100719424459</v>
      </c>
      <c r="C7" s="2">
        <v>5.0359712230215834</v>
      </c>
      <c r="D7" s="2">
        <v>13.848920863309351</v>
      </c>
      <c r="E7" s="2">
        <v>38.669064748201443</v>
      </c>
      <c r="F7" s="2">
        <v>39.208633093525179</v>
      </c>
      <c r="G7" s="3">
        <v>100</v>
      </c>
    </row>
    <row r="8" spans="1:7" x14ac:dyDescent="0.2">
      <c r="A8" s="10" t="s">
        <v>3</v>
      </c>
      <c r="B8" s="2">
        <v>2.7366863905325451</v>
      </c>
      <c r="C8" s="2">
        <v>4.8323471400394471</v>
      </c>
      <c r="D8" s="2">
        <v>13.609467455621299</v>
      </c>
      <c r="E8" s="2">
        <v>38.387573964497037</v>
      </c>
      <c r="F8" s="2">
        <v>40.433925049309657</v>
      </c>
      <c r="G8" s="3">
        <v>100</v>
      </c>
    </row>
    <row r="9" spans="1:7" x14ac:dyDescent="0.2">
      <c r="A9" s="10" t="s">
        <v>4</v>
      </c>
      <c r="B9" s="2">
        <v>1.639344262295082</v>
      </c>
      <c r="C9" s="2">
        <v>2.0491803278688518</v>
      </c>
      <c r="D9" s="2">
        <v>12.704918032786891</v>
      </c>
      <c r="E9" s="2">
        <v>42.622950819672127</v>
      </c>
      <c r="F9" s="2">
        <v>40.983606557377051</v>
      </c>
      <c r="G9" s="3">
        <v>100</v>
      </c>
    </row>
    <row r="10" spans="1:7" x14ac:dyDescent="0.2">
      <c r="A10" s="10" t="s">
        <v>7</v>
      </c>
      <c r="B10" s="2">
        <v>2.0631850419084459</v>
      </c>
      <c r="C10" s="2">
        <v>5.2224371373307541</v>
      </c>
      <c r="D10" s="2">
        <v>10.315925209542231</v>
      </c>
      <c r="E10" s="2">
        <v>40.812379110251449</v>
      </c>
      <c r="F10" s="2">
        <v>41.586073500967117</v>
      </c>
      <c r="G10" s="3">
        <v>100</v>
      </c>
    </row>
    <row r="11" spans="1:7" x14ac:dyDescent="0.2">
      <c r="A11" s="10" t="s">
        <v>6</v>
      </c>
      <c r="B11" s="2">
        <v>4.0404040404040407</v>
      </c>
      <c r="C11" s="2">
        <v>5.5555555555555554</v>
      </c>
      <c r="D11" s="2">
        <v>16.161616161616159</v>
      </c>
      <c r="E11" s="2">
        <v>34.848484848484851</v>
      </c>
      <c r="F11" s="2">
        <v>39.393939393939391</v>
      </c>
      <c r="G11" s="3">
        <v>100</v>
      </c>
    </row>
    <row r="12" spans="1:7" x14ac:dyDescent="0.2">
      <c r="A12" s="10"/>
    </row>
    <row r="13" spans="1:7" x14ac:dyDescent="0.2">
      <c r="A13" s="10" t="s">
        <v>53</v>
      </c>
      <c r="B13" s="2">
        <v>2.4922118380062299</v>
      </c>
      <c r="C13" s="2">
        <v>4.9399198931909218</v>
      </c>
      <c r="D13" s="2">
        <v>13.59590565198042</v>
      </c>
      <c r="E13" s="2">
        <v>39.563862928348911</v>
      </c>
      <c r="F13" s="2">
        <v>39.40809968847352</v>
      </c>
      <c r="G13" s="3">
        <v>100</v>
      </c>
    </row>
    <row r="14" spans="1:7" x14ac:dyDescent="0.2">
      <c r="A14" s="10" t="s">
        <v>54</v>
      </c>
      <c r="B14" s="2">
        <v>2.697022767075306</v>
      </c>
      <c r="C14" s="2">
        <v>4.5534150612959721</v>
      </c>
      <c r="D14" s="2">
        <v>11.2784588441331</v>
      </c>
      <c r="E14" s="2">
        <v>39.05429071803853</v>
      </c>
      <c r="F14" s="2">
        <v>42.416812609457097</v>
      </c>
      <c r="G14" s="3">
        <v>100</v>
      </c>
    </row>
    <row r="15" spans="1:7" x14ac:dyDescent="0.2">
      <c r="A15" s="10" t="s">
        <v>52</v>
      </c>
      <c r="B15" s="2">
        <v>1.913875598086124</v>
      </c>
      <c r="C15" s="2">
        <v>6.2200956937799043</v>
      </c>
      <c r="D15" s="2">
        <v>14.832535885167459</v>
      </c>
      <c r="E15" s="2">
        <v>43.779904306220097</v>
      </c>
      <c r="F15" s="2">
        <v>33.253588516746412</v>
      </c>
      <c r="G15" s="3">
        <v>100</v>
      </c>
    </row>
    <row r="16" spans="1:7" x14ac:dyDescent="0.2">
      <c r="A16" s="10" t="s">
        <v>51</v>
      </c>
      <c r="B16" s="2">
        <v>2.645502645502646</v>
      </c>
      <c r="C16" s="2">
        <v>5.2910052910052912</v>
      </c>
      <c r="D16" s="2">
        <v>16.93121693121693</v>
      </c>
      <c r="E16" s="2">
        <v>38.62433862433862</v>
      </c>
      <c r="F16" s="2">
        <v>36.507936507936513</v>
      </c>
      <c r="G16" s="3">
        <v>100</v>
      </c>
    </row>
    <row r="17" spans="1:7" x14ac:dyDescent="0.2">
      <c r="A17" s="10"/>
    </row>
    <row r="18" spans="1:7" x14ac:dyDescent="0.2">
      <c r="A18" s="5" t="s">
        <v>8</v>
      </c>
      <c r="B18" s="2">
        <v>2.5974025974025969</v>
      </c>
      <c r="C18" s="2">
        <v>4.3062200956937797</v>
      </c>
      <c r="D18" s="2">
        <v>14.285714285714279</v>
      </c>
      <c r="E18" s="2">
        <v>38.619275461380717</v>
      </c>
      <c r="F18" s="2">
        <v>40.191387559808611</v>
      </c>
      <c r="G18" s="3">
        <v>100</v>
      </c>
    </row>
    <row r="19" spans="1:7" x14ac:dyDescent="0.2">
      <c r="A19" s="5" t="s">
        <v>9</v>
      </c>
      <c r="B19" s="2">
        <v>2.9377203290246769</v>
      </c>
      <c r="C19" s="2">
        <v>5.8754406580493539</v>
      </c>
      <c r="D19" s="2">
        <v>13.51351351351351</v>
      </c>
      <c r="E19" s="2">
        <v>39.189189189189193</v>
      </c>
      <c r="F19" s="2">
        <v>38.484136310223263</v>
      </c>
      <c r="G19" s="3">
        <v>100</v>
      </c>
    </row>
    <row r="20" spans="1:7" x14ac:dyDescent="0.2">
      <c r="A20" s="5" t="s">
        <v>10</v>
      </c>
      <c r="B20" s="2">
        <v>1.862745098039216</v>
      </c>
      <c r="C20" s="2">
        <v>6.3725490196078427</v>
      </c>
      <c r="D20" s="2">
        <v>12.84313725490196</v>
      </c>
      <c r="E20" s="2">
        <v>39.411764705882362</v>
      </c>
      <c r="F20" s="2">
        <v>39.509803921568633</v>
      </c>
      <c r="G20" s="3">
        <v>100</v>
      </c>
    </row>
    <row r="21" spans="1:7" x14ac:dyDescent="0.2">
      <c r="A21" s="5" t="s">
        <v>11</v>
      </c>
      <c r="B21" s="2">
        <v>3.79746835443038</v>
      </c>
      <c r="C21" s="2">
        <v>5.485232067510549</v>
      </c>
      <c r="D21" s="2">
        <v>11.39240506329114</v>
      </c>
      <c r="E21" s="2">
        <v>38.607594936708857</v>
      </c>
      <c r="F21" s="2">
        <v>40.717299578059077</v>
      </c>
      <c r="G21" s="3">
        <v>100</v>
      </c>
    </row>
    <row r="22" spans="1:7" x14ac:dyDescent="0.2">
      <c r="A22" s="5" t="s">
        <v>12</v>
      </c>
      <c r="B22" s="2">
        <v>2.368987796123474</v>
      </c>
      <c r="C22" s="2">
        <v>3.7329504666188078</v>
      </c>
      <c r="D22" s="2">
        <v>12.562814070351759</v>
      </c>
      <c r="E22" s="2">
        <v>39.842067480258443</v>
      </c>
      <c r="F22" s="2">
        <v>41.493180186647521</v>
      </c>
      <c r="G22" s="3">
        <v>100</v>
      </c>
    </row>
    <row r="23" spans="1:7" x14ac:dyDescent="0.2">
      <c r="A23" s="5" t="s">
        <v>44</v>
      </c>
      <c r="B23" s="2">
        <v>2.2926500337154421</v>
      </c>
      <c r="C23" s="2">
        <v>4.2481456507080244</v>
      </c>
      <c r="D23" s="2">
        <v>10.92380310182063</v>
      </c>
      <c r="E23" s="2">
        <v>41.604855023600813</v>
      </c>
      <c r="F23" s="2">
        <v>40.930546190155091</v>
      </c>
      <c r="G23" s="3">
        <v>100</v>
      </c>
    </row>
    <row r="24" spans="1:7" x14ac:dyDescent="0.2">
      <c r="A24" s="5" t="s">
        <v>13</v>
      </c>
      <c r="B24" s="2">
        <v>2.921348314606742</v>
      </c>
      <c r="C24" s="2">
        <v>4.4943820224719104</v>
      </c>
      <c r="D24" s="2">
        <v>15.95505617977528</v>
      </c>
      <c r="E24" s="2">
        <v>36.853932584269657</v>
      </c>
      <c r="F24" s="2">
        <v>39.775280898876403</v>
      </c>
      <c r="G24" s="3">
        <v>100</v>
      </c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985F-57D4-D340-A4B0-0302B0E00D9E}">
  <dimension ref="A1:G25"/>
  <sheetViews>
    <sheetView topLeftCell="A5" zoomScale="93" zoomScaleNormal="100" workbookViewId="0">
      <selection activeCell="G21" sqref="G21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74</v>
      </c>
      <c r="C1" s="5"/>
      <c r="D1" s="5"/>
      <c r="E1" s="5"/>
      <c r="F1" s="5"/>
      <c r="G1" s="5"/>
    </row>
    <row r="2" spans="1:7" x14ac:dyDescent="0.2">
      <c r="A2" s="10"/>
      <c r="B2" s="155" t="s">
        <v>14</v>
      </c>
      <c r="C2" s="155" t="s">
        <v>15</v>
      </c>
      <c r="D2" s="155" t="s">
        <v>16</v>
      </c>
      <c r="E2" s="155" t="s">
        <v>17</v>
      </c>
      <c r="F2" s="155" t="s">
        <v>18</v>
      </c>
      <c r="G2" s="4"/>
    </row>
    <row r="3" spans="1:7" x14ac:dyDescent="0.2">
      <c r="A3" s="5" t="s">
        <v>56</v>
      </c>
      <c r="B3" s="2">
        <v>7.95</v>
      </c>
      <c r="C3" s="2">
        <v>21.21</v>
      </c>
      <c r="D3" s="2">
        <v>34.06</v>
      </c>
      <c r="E3" s="2">
        <v>24.97</v>
      </c>
      <c r="F3" s="2">
        <v>11.81</v>
      </c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2">
        <v>6.2102506546950993</v>
      </c>
      <c r="C5" s="2">
        <v>18.518518518518519</v>
      </c>
      <c r="D5" s="2">
        <v>33.445566778900108</v>
      </c>
      <c r="E5" s="2">
        <v>26.861204638982421</v>
      </c>
      <c r="F5" s="2">
        <v>14.964459408903849</v>
      </c>
      <c r="G5" s="2"/>
    </row>
    <row r="6" spans="1:7" x14ac:dyDescent="0.2">
      <c r="A6" s="10" t="s">
        <v>53</v>
      </c>
      <c r="B6" s="2">
        <v>8.0261315912272515</v>
      </c>
      <c r="C6" s="2">
        <v>22.118525431637892</v>
      </c>
      <c r="D6" s="2">
        <v>34.367708819412037</v>
      </c>
      <c r="E6" s="2">
        <v>24.82501166588894</v>
      </c>
      <c r="F6" s="2">
        <v>10.662622491833879</v>
      </c>
      <c r="G6" s="2"/>
    </row>
    <row r="7" spans="1:7" x14ac:dyDescent="0.2">
      <c r="A7" s="10" t="s">
        <v>61</v>
      </c>
      <c r="B7" s="2">
        <v>14.63414634146341</v>
      </c>
      <c r="C7" s="2">
        <v>30.487804878048781</v>
      </c>
      <c r="D7" s="2">
        <v>41.463414634146339</v>
      </c>
      <c r="E7" s="2">
        <v>8.536585365853659</v>
      </c>
      <c r="F7" s="2">
        <v>4.8780487804878048</v>
      </c>
      <c r="G7" s="2"/>
    </row>
    <row r="8" spans="1:7" x14ac:dyDescent="0.2">
      <c r="A8" s="10" t="s">
        <v>58</v>
      </c>
      <c r="B8" s="2">
        <v>16.716417910447799</v>
      </c>
      <c r="C8" s="2">
        <v>26.865671641791049</v>
      </c>
      <c r="D8" s="2">
        <v>33.432835820895527</v>
      </c>
      <c r="E8" s="2">
        <v>17.014925373134329</v>
      </c>
      <c r="F8" s="2">
        <v>5.9701492537313428</v>
      </c>
      <c r="G8" s="2"/>
    </row>
    <row r="9" spans="1:7" x14ac:dyDescent="0.2">
      <c r="A9" s="10" t="s">
        <v>59</v>
      </c>
      <c r="B9" s="2">
        <v>15</v>
      </c>
      <c r="C9" s="2">
        <v>30.714285714285719</v>
      </c>
      <c r="D9" s="2">
        <v>32.857142857142847</v>
      </c>
      <c r="E9" s="2">
        <v>14.285714285714279</v>
      </c>
      <c r="F9" s="2">
        <v>7.1428571428571423</v>
      </c>
      <c r="G9" s="2"/>
    </row>
    <row r="10" spans="1:7" x14ac:dyDescent="0.2">
      <c r="A10" s="10"/>
      <c r="B10" s="168"/>
      <c r="C10" s="168"/>
      <c r="D10" s="168"/>
      <c r="E10" s="168"/>
      <c r="F10" s="2"/>
      <c r="G10" s="2"/>
    </row>
    <row r="11" spans="1:7" x14ac:dyDescent="0.2">
      <c r="A11" s="10" t="s">
        <v>60</v>
      </c>
      <c r="B11" s="2">
        <v>6.5368299267258001</v>
      </c>
      <c r="C11" s="2">
        <v>19.996143463170071</v>
      </c>
      <c r="D11" s="2">
        <v>33.686849209409949</v>
      </c>
      <c r="E11" s="2">
        <v>26.16660239105283</v>
      </c>
      <c r="F11" s="2">
        <v>13.613575009641339</v>
      </c>
      <c r="G11" s="2"/>
    </row>
    <row r="12" spans="1:7" x14ac:dyDescent="0.2">
      <c r="A12" s="10" t="s">
        <v>62</v>
      </c>
      <c r="B12" s="2">
        <v>8.7878787878787872</v>
      </c>
      <c r="C12" s="2">
        <v>22.121212121212121</v>
      </c>
      <c r="D12" s="2">
        <v>36.969696969696969</v>
      </c>
      <c r="E12" s="2">
        <v>23.939393939393941</v>
      </c>
      <c r="F12" s="2">
        <v>8.1818181818181817</v>
      </c>
      <c r="G12" s="2"/>
    </row>
    <row r="13" spans="1:7" x14ac:dyDescent="0.2">
      <c r="A13" s="10" t="s">
        <v>63</v>
      </c>
      <c r="B13" s="2">
        <v>10.72056239015817</v>
      </c>
      <c r="C13" s="2">
        <v>23.550087873462211</v>
      </c>
      <c r="D13" s="2">
        <v>35.500878734622141</v>
      </c>
      <c r="E13" s="2">
        <v>22.231985940246052</v>
      </c>
      <c r="F13" s="2">
        <v>7.9964850615114242</v>
      </c>
      <c r="G13" s="165"/>
    </row>
    <row r="14" spans="1:7" x14ac:dyDescent="0.2">
      <c r="A14" s="10" t="s">
        <v>64</v>
      </c>
      <c r="B14" s="2">
        <v>10.989010989010991</v>
      </c>
      <c r="C14" s="2">
        <v>30.76923076923077</v>
      </c>
      <c r="D14" s="2">
        <v>35.164835164835168</v>
      </c>
      <c r="E14" s="2">
        <v>15.38461538461539</v>
      </c>
      <c r="F14" s="2">
        <v>7.6923076923076934</v>
      </c>
      <c r="G14" s="2"/>
    </row>
    <row r="15" spans="1:7" x14ac:dyDescent="0.2">
      <c r="A15" s="10" t="s">
        <v>65</v>
      </c>
      <c r="B15" s="2">
        <v>12.21374045801527</v>
      </c>
      <c r="C15" s="2">
        <v>19.08396946564886</v>
      </c>
      <c r="D15" s="2">
        <v>40.458015267175583</v>
      </c>
      <c r="E15" s="2">
        <v>21.374045801526719</v>
      </c>
      <c r="F15" s="2">
        <v>6.8702290076335881</v>
      </c>
      <c r="G15" s="2"/>
    </row>
    <row r="16" spans="1:7" x14ac:dyDescent="0.2">
      <c r="A16" s="10" t="s">
        <v>59</v>
      </c>
      <c r="B16" s="2">
        <v>12.99212598425197</v>
      </c>
      <c r="C16" s="2">
        <v>25.787401574803152</v>
      </c>
      <c r="D16" s="2">
        <v>31.496062992125989</v>
      </c>
      <c r="E16" s="2">
        <v>21.8503937007874</v>
      </c>
      <c r="F16" s="2">
        <v>7.8740157480314963</v>
      </c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7124-1AD9-DF46-A024-4C41BE542AFD}">
  <dimension ref="A1:G25"/>
  <sheetViews>
    <sheetView topLeftCell="B1" zoomScaleNormal="100" workbookViewId="0">
      <selection activeCell="G13" sqref="G13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94</v>
      </c>
      <c r="C1" s="5"/>
      <c r="D1" s="5"/>
      <c r="E1" s="5"/>
      <c r="F1" s="5"/>
      <c r="G1" s="5"/>
    </row>
    <row r="2" spans="1:7" x14ac:dyDescent="0.2">
      <c r="A2" s="10"/>
      <c r="B2" t="s">
        <v>33</v>
      </c>
      <c r="C2" t="s">
        <v>34</v>
      </c>
      <c r="D2" t="s">
        <v>35</v>
      </c>
      <c r="E2" t="s">
        <v>36</v>
      </c>
      <c r="F2" t="s">
        <v>37</v>
      </c>
      <c r="G2" s="4"/>
    </row>
    <row r="3" spans="1:7" x14ac:dyDescent="0.2">
      <c r="A3" s="5" t="s">
        <v>56</v>
      </c>
      <c r="B3" s="2">
        <v>6.1</v>
      </c>
      <c r="C3" s="2">
        <v>11.3</v>
      </c>
      <c r="D3" s="2">
        <v>23.55</v>
      </c>
      <c r="E3" s="2">
        <v>37.32</v>
      </c>
      <c r="F3" s="2">
        <v>21.74</v>
      </c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2">
        <v>5.5118110236220472</v>
      </c>
      <c r="C5" s="2">
        <v>9.036370453693289</v>
      </c>
      <c r="D5" s="2">
        <v>21.372328458942629</v>
      </c>
      <c r="E5" s="2">
        <v>37.757780277465322</v>
      </c>
      <c r="F5" s="2">
        <v>26.32170978627671</v>
      </c>
      <c r="G5" s="2"/>
    </row>
    <row r="6" spans="1:7" x14ac:dyDescent="0.2">
      <c r="A6" s="10" t="s">
        <v>53</v>
      </c>
      <c r="B6" s="2">
        <v>5.44392523364486</v>
      </c>
      <c r="C6" s="2">
        <v>11.77570093457944</v>
      </c>
      <c r="D6" s="2">
        <v>24.228971962616821</v>
      </c>
      <c r="E6" s="2">
        <v>38.247663551401857</v>
      </c>
      <c r="F6" s="2">
        <v>20.303738317757009</v>
      </c>
      <c r="G6" s="2"/>
    </row>
    <row r="7" spans="1:7" x14ac:dyDescent="0.2">
      <c r="A7" s="10" t="s">
        <v>61</v>
      </c>
      <c r="B7" s="2">
        <v>14.63414634146341</v>
      </c>
      <c r="C7" s="2">
        <v>19.512195121951219</v>
      </c>
      <c r="D7" s="2">
        <v>23.170731707317071</v>
      </c>
      <c r="E7" s="2">
        <v>34.146341463414643</v>
      </c>
      <c r="F7" s="2">
        <v>8.536585365853659</v>
      </c>
      <c r="G7" s="2"/>
    </row>
    <row r="8" spans="1:7" x14ac:dyDescent="0.2">
      <c r="A8" s="10" t="s">
        <v>58</v>
      </c>
      <c r="B8" s="2">
        <v>12.53731343283582</v>
      </c>
      <c r="C8" s="2">
        <v>18.507462686567159</v>
      </c>
      <c r="D8" s="2">
        <v>28.955223880597011</v>
      </c>
      <c r="E8" s="2">
        <v>29.253731343283579</v>
      </c>
      <c r="F8" s="2">
        <v>10.746268656716421</v>
      </c>
      <c r="G8" s="2"/>
    </row>
    <row r="9" spans="1:7" x14ac:dyDescent="0.2">
      <c r="A9" s="10" t="s">
        <v>59</v>
      </c>
      <c r="B9" s="2">
        <v>12.23021582733813</v>
      </c>
      <c r="C9" s="2">
        <v>16.546762589928061</v>
      </c>
      <c r="D9" s="2">
        <v>29.49640287769784</v>
      </c>
      <c r="E9" s="2">
        <v>26.618705035971221</v>
      </c>
      <c r="F9" s="2">
        <v>15.10791366906475</v>
      </c>
      <c r="G9" s="2"/>
    </row>
    <row r="10" spans="1:7" x14ac:dyDescent="0.2">
      <c r="A10" s="10"/>
      <c r="B10" s="168"/>
      <c r="C10" s="168"/>
      <c r="D10" s="168"/>
      <c r="E10" s="168"/>
      <c r="F10" s="2"/>
      <c r="G10" s="2"/>
    </row>
    <row r="11" spans="1:7" x14ac:dyDescent="0.2">
      <c r="A11" s="10" t="s">
        <v>60</v>
      </c>
      <c r="B11" s="2">
        <v>5.083107846926942</v>
      </c>
      <c r="C11" s="2">
        <v>9.4704290684190191</v>
      </c>
      <c r="D11" s="2">
        <v>23.212214920757631</v>
      </c>
      <c r="E11" s="2">
        <v>37.553150367220717</v>
      </c>
      <c r="F11" s="2">
        <v>24.68109779667569</v>
      </c>
      <c r="G11" s="2"/>
    </row>
    <row r="12" spans="1:7" x14ac:dyDescent="0.2">
      <c r="A12" s="10" t="s">
        <v>62</v>
      </c>
      <c r="B12" s="2">
        <v>8.4848484848484862</v>
      </c>
      <c r="C12" s="2">
        <v>16.060606060606059</v>
      </c>
      <c r="D12" s="2">
        <v>20.90909090909091</v>
      </c>
      <c r="E12" s="2">
        <v>38.484848484848477</v>
      </c>
      <c r="F12" s="2">
        <v>16.060606060606059</v>
      </c>
      <c r="G12" s="2"/>
    </row>
    <row r="13" spans="1:7" x14ac:dyDescent="0.2">
      <c r="A13" s="10" t="s">
        <v>63</v>
      </c>
      <c r="B13" s="2">
        <v>8.4358523725834793</v>
      </c>
      <c r="C13" s="2">
        <v>15.28998242530756</v>
      </c>
      <c r="D13" s="2">
        <v>23.11072056239016</v>
      </c>
      <c r="E13" s="2">
        <v>37.697715289982433</v>
      </c>
      <c r="F13" s="2">
        <v>15.46572934973638</v>
      </c>
      <c r="G13" s="165"/>
    </row>
    <row r="14" spans="1:7" x14ac:dyDescent="0.2">
      <c r="A14" s="10" t="s">
        <v>64</v>
      </c>
      <c r="B14" s="2">
        <v>4.395604395604396</v>
      </c>
      <c r="C14" s="2">
        <v>18.131868131868131</v>
      </c>
      <c r="D14" s="2">
        <v>28.571428571428569</v>
      </c>
      <c r="E14" s="2">
        <v>31.318681318681321</v>
      </c>
      <c r="F14" s="2">
        <v>17.58241758241758</v>
      </c>
      <c r="G14" s="2"/>
    </row>
    <row r="15" spans="1:7" x14ac:dyDescent="0.2">
      <c r="A15" s="10" t="s">
        <v>65</v>
      </c>
      <c r="B15" s="2">
        <v>7.6335877862595423</v>
      </c>
      <c r="C15" s="2">
        <v>14.503816793893129</v>
      </c>
      <c r="D15" s="2">
        <v>24.427480916030529</v>
      </c>
      <c r="E15" s="2">
        <v>43.511450381679388</v>
      </c>
      <c r="F15" s="2">
        <v>9.9236641221374047</v>
      </c>
      <c r="G15" s="2"/>
    </row>
    <row r="16" spans="1:7" x14ac:dyDescent="0.2">
      <c r="A16" s="10" t="s">
        <v>59</v>
      </c>
      <c r="B16" s="2">
        <v>8.4812623274161734</v>
      </c>
      <c r="C16" s="2">
        <v>14.398422090729779</v>
      </c>
      <c r="D16" s="2">
        <v>26.42998027613412</v>
      </c>
      <c r="E16" s="2">
        <v>35.108481262327423</v>
      </c>
      <c r="F16" s="2">
        <v>15.5818540433925</v>
      </c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8E629-0350-F04F-8004-A00363BE6D1C}">
  <dimension ref="A1:G25"/>
  <sheetViews>
    <sheetView topLeftCell="A2" workbookViewId="0">
      <selection activeCell="A5" sqref="A5:A9"/>
    </sheetView>
  </sheetViews>
  <sheetFormatPr baseColWidth="10" defaultRowHeight="15" x14ac:dyDescent="0.2"/>
  <cols>
    <col min="1" max="1" width="42.1640625" style="156" customWidth="1"/>
    <col min="2" max="16384" width="10.83203125" style="157"/>
  </cols>
  <sheetData>
    <row r="1" spans="1:7" x14ac:dyDescent="0.2">
      <c r="B1" s="191" t="s">
        <v>66</v>
      </c>
      <c r="C1" s="191"/>
      <c r="D1" s="191"/>
      <c r="E1" s="191"/>
      <c r="F1" s="191"/>
      <c r="G1" s="158"/>
    </row>
    <row r="2" spans="1:7" ht="16" thickBot="1" x14ac:dyDescent="0.25">
      <c r="A2" s="159"/>
      <c r="B2" s="169" t="s">
        <v>19</v>
      </c>
      <c r="C2" s="169" t="s">
        <v>20</v>
      </c>
      <c r="D2" s="169" t="s">
        <v>21</v>
      </c>
      <c r="E2" s="169" t="s">
        <v>22</v>
      </c>
      <c r="F2" s="160"/>
    </row>
    <row r="3" spans="1:7" ht="16" thickTop="1" x14ac:dyDescent="0.2">
      <c r="A3" s="5" t="s">
        <v>56</v>
      </c>
      <c r="B3" s="2">
        <v>76.56</v>
      </c>
      <c r="C3" s="2">
        <v>10.41</v>
      </c>
      <c r="D3" s="2">
        <v>9.23</v>
      </c>
      <c r="E3" s="2">
        <v>3.8</v>
      </c>
      <c r="F3" s="161"/>
    </row>
    <row r="4" spans="1:7" x14ac:dyDescent="0.2">
      <c r="A4" s="10"/>
      <c r="B4" s="162"/>
      <c r="C4" s="162"/>
      <c r="D4" s="162"/>
      <c r="E4" s="162"/>
      <c r="F4" s="162"/>
    </row>
    <row r="5" spans="1:7" x14ac:dyDescent="0.2">
      <c r="A5" s="10" t="s">
        <v>54</v>
      </c>
      <c r="B5" s="2">
        <v>83.794910179640709</v>
      </c>
      <c r="C5" s="2">
        <v>8.3083832335329344</v>
      </c>
      <c r="D5" s="2">
        <v>4.9775449101796401</v>
      </c>
      <c r="E5" s="2">
        <v>2.919161676646707</v>
      </c>
      <c r="F5" s="163"/>
    </row>
    <row r="6" spans="1:7" x14ac:dyDescent="0.2">
      <c r="A6" s="10" t="s">
        <v>53</v>
      </c>
      <c r="B6" s="2">
        <v>75.490196078431367</v>
      </c>
      <c r="C6" s="2">
        <v>11.017740429505141</v>
      </c>
      <c r="D6" s="2">
        <v>10.130718954248371</v>
      </c>
      <c r="E6" s="2">
        <v>3.3613445378151261</v>
      </c>
      <c r="F6" s="163"/>
    </row>
    <row r="7" spans="1:7" x14ac:dyDescent="0.2">
      <c r="A7" s="10" t="s">
        <v>61</v>
      </c>
      <c r="B7" s="2">
        <v>35.365853658536587</v>
      </c>
      <c r="C7" s="2">
        <v>21.95121951219512</v>
      </c>
      <c r="D7" s="2">
        <v>26.829268292682929</v>
      </c>
      <c r="E7" s="2">
        <v>15.853658536585369</v>
      </c>
      <c r="F7" s="163"/>
    </row>
    <row r="8" spans="1:7" x14ac:dyDescent="0.2">
      <c r="A8" s="10" t="s">
        <v>58</v>
      </c>
      <c r="B8" s="2">
        <v>54.191616766467057</v>
      </c>
      <c r="C8" s="2">
        <v>12.5748502994012</v>
      </c>
      <c r="D8" s="2">
        <v>22.754491017964071</v>
      </c>
      <c r="E8" s="2">
        <v>10.47904191616766</v>
      </c>
      <c r="F8" s="163"/>
    </row>
    <row r="9" spans="1:7" x14ac:dyDescent="0.2">
      <c r="A9" s="10" t="s">
        <v>59</v>
      </c>
      <c r="B9" s="2">
        <v>62.857142857142847</v>
      </c>
      <c r="C9" s="2">
        <v>12.857142857142859</v>
      </c>
      <c r="D9" s="2">
        <v>12.857142857142859</v>
      </c>
      <c r="E9" s="2">
        <v>11.428571428571431</v>
      </c>
      <c r="F9" s="163"/>
    </row>
    <row r="10" spans="1:7" x14ac:dyDescent="0.2">
      <c r="A10" s="10"/>
      <c r="B10" s="163"/>
      <c r="C10" s="163"/>
      <c r="D10" s="163"/>
      <c r="E10" s="163"/>
      <c r="F10" s="163"/>
    </row>
    <row r="11" spans="1:7" x14ac:dyDescent="0.2">
      <c r="A11" s="10" t="s">
        <v>60</v>
      </c>
      <c r="B11" s="2">
        <v>81.902373142967392</v>
      </c>
      <c r="C11" s="2">
        <v>8.9137565116727764</v>
      </c>
      <c r="D11" s="2">
        <v>6.5599073895427367</v>
      </c>
      <c r="E11" s="2">
        <v>2.623962955817094</v>
      </c>
      <c r="F11" s="163"/>
    </row>
    <row r="12" spans="1:7" x14ac:dyDescent="0.2">
      <c r="A12" s="10" t="s">
        <v>62</v>
      </c>
      <c r="B12" s="2">
        <v>61.212121212121197</v>
      </c>
      <c r="C12" s="2">
        <v>11.515151515151519</v>
      </c>
      <c r="D12" s="2">
        <v>19.696969696969699</v>
      </c>
      <c r="E12" s="2">
        <v>7.5757575757575761</v>
      </c>
      <c r="F12" s="162"/>
    </row>
    <row r="13" spans="1:7" x14ac:dyDescent="0.2">
      <c r="A13" s="10" t="s">
        <v>63</v>
      </c>
      <c r="B13" s="2">
        <v>62.126537785588752</v>
      </c>
      <c r="C13" s="2">
        <v>14.14762741652021</v>
      </c>
      <c r="D13" s="2">
        <v>16.783831282952551</v>
      </c>
      <c r="E13" s="2">
        <v>6.942003514938488</v>
      </c>
      <c r="F13" s="163"/>
    </row>
    <row r="14" spans="1:7" x14ac:dyDescent="0.2">
      <c r="A14" s="10" t="s">
        <v>64</v>
      </c>
      <c r="B14" s="2">
        <v>72.375690607734811</v>
      </c>
      <c r="C14" s="2">
        <v>13.8121546961326</v>
      </c>
      <c r="D14" s="2">
        <v>10.49723756906077</v>
      </c>
      <c r="E14" s="2">
        <v>3.3149171270718232</v>
      </c>
      <c r="F14" s="163"/>
    </row>
    <row r="15" spans="1:7" x14ac:dyDescent="0.2">
      <c r="A15" s="10" t="s">
        <v>65</v>
      </c>
      <c r="B15" s="2">
        <v>59.541984732824417</v>
      </c>
      <c r="C15" s="2">
        <v>16.03053435114504</v>
      </c>
      <c r="D15" s="2">
        <v>18.320610687022899</v>
      </c>
      <c r="E15" s="2">
        <v>6.1068702290076331</v>
      </c>
      <c r="F15" s="163"/>
    </row>
    <row r="16" spans="1:7" x14ac:dyDescent="0.2">
      <c r="A16" s="10" t="s">
        <v>59</v>
      </c>
      <c r="B16" s="2">
        <v>73.622047244094489</v>
      </c>
      <c r="C16" s="2">
        <v>12.79527559055118</v>
      </c>
      <c r="D16" s="2">
        <v>8.2677165354330722</v>
      </c>
      <c r="E16" s="2">
        <v>5.3149606299212602</v>
      </c>
      <c r="F16" s="163"/>
    </row>
    <row r="17" spans="1:6" x14ac:dyDescent="0.2">
      <c r="A17" s="10"/>
      <c r="F17" s="162"/>
    </row>
    <row r="18" spans="1:6" x14ac:dyDescent="0.2">
      <c r="A18" s="5"/>
      <c r="B18" s="163"/>
      <c r="C18" s="163"/>
      <c r="D18" s="163"/>
      <c r="E18" s="163"/>
      <c r="F18" s="163"/>
    </row>
    <row r="19" spans="1:6" x14ac:dyDescent="0.2">
      <c r="A19" s="5"/>
      <c r="B19" s="163"/>
      <c r="C19" s="163"/>
      <c r="D19" s="163"/>
      <c r="E19" s="163"/>
      <c r="F19" s="163"/>
    </row>
    <row r="20" spans="1:6" x14ac:dyDescent="0.2">
      <c r="A20" s="5"/>
      <c r="B20" s="163"/>
      <c r="C20" s="163"/>
      <c r="D20" s="163"/>
      <c r="E20" s="163"/>
      <c r="F20" s="163"/>
    </row>
    <row r="21" spans="1:6" x14ac:dyDescent="0.2">
      <c r="A21" s="5"/>
      <c r="B21" s="2"/>
      <c r="C21" s="2"/>
      <c r="D21" s="2"/>
      <c r="E21" s="2"/>
      <c r="F21" s="163"/>
    </row>
    <row r="22" spans="1:6" x14ac:dyDescent="0.2">
      <c r="A22" s="5"/>
      <c r="B22" s="163"/>
      <c r="C22" s="163"/>
      <c r="D22" s="163"/>
      <c r="E22" s="163"/>
      <c r="F22" s="163"/>
    </row>
    <row r="23" spans="1:6" x14ac:dyDescent="0.2">
      <c r="A23" s="5"/>
      <c r="B23" s="163"/>
      <c r="C23" s="163"/>
      <c r="D23" s="163"/>
      <c r="E23" s="163"/>
      <c r="F23" s="163"/>
    </row>
    <row r="24" spans="1:6" x14ac:dyDescent="0.2">
      <c r="A24" s="5"/>
      <c r="B24" s="163"/>
      <c r="C24" s="163"/>
      <c r="D24" s="163"/>
      <c r="E24" s="163"/>
      <c r="F24" s="163"/>
    </row>
    <row r="25" spans="1:6" x14ac:dyDescent="0.2">
      <c r="A25" s="159"/>
    </row>
  </sheetData>
  <mergeCells count="1">
    <mergeCell ref="B1:F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9A6F-E24A-BA49-9FB2-494A9F820892}">
  <dimension ref="A1:G25"/>
  <sheetViews>
    <sheetView workbookViewId="0">
      <selection activeCell="B8" sqref="B8"/>
    </sheetView>
  </sheetViews>
  <sheetFormatPr baseColWidth="10" defaultRowHeight="15" x14ac:dyDescent="0.2"/>
  <cols>
    <col min="1" max="1" width="42.1640625" style="156" customWidth="1"/>
    <col min="2" max="16384" width="10.83203125" style="157"/>
  </cols>
  <sheetData>
    <row r="1" spans="1:7" x14ac:dyDescent="0.2">
      <c r="B1" s="191" t="s">
        <v>70</v>
      </c>
      <c r="C1" s="191"/>
      <c r="D1" s="191"/>
      <c r="E1" s="191"/>
      <c r="F1" s="191"/>
      <c r="G1" s="158"/>
    </row>
    <row r="2" spans="1:7" ht="16" thickBot="1" x14ac:dyDescent="0.25">
      <c r="A2" s="159"/>
      <c r="B2" s="169" t="s">
        <v>71</v>
      </c>
      <c r="C2" s="169" t="s">
        <v>72</v>
      </c>
      <c r="D2" s="169"/>
      <c r="E2" s="169" t="s">
        <v>73</v>
      </c>
      <c r="F2" s="160"/>
    </row>
    <row r="3" spans="1:7" ht="16" thickTop="1" x14ac:dyDescent="0.2">
      <c r="A3" s="5" t="s">
        <v>56</v>
      </c>
      <c r="B3" s="2">
        <v>44.73</v>
      </c>
      <c r="C3" s="2">
        <v>55.27</v>
      </c>
      <c r="D3" s="2"/>
      <c r="E3" s="171">
        <v>986</v>
      </c>
      <c r="F3" s="161"/>
    </row>
    <row r="4" spans="1:7" x14ac:dyDescent="0.2">
      <c r="A4" s="10"/>
      <c r="B4" s="162"/>
      <c r="C4" s="162"/>
      <c r="D4" s="162"/>
      <c r="E4" s="172"/>
      <c r="F4" s="162"/>
    </row>
    <row r="5" spans="1:7" x14ac:dyDescent="0.2">
      <c r="A5" s="10" t="s">
        <v>54</v>
      </c>
      <c r="B5" s="2">
        <v>64.62882096069869</v>
      </c>
      <c r="C5" s="2">
        <v>35.37117903930131</v>
      </c>
      <c r="D5" s="2"/>
      <c r="E5" s="171">
        <v>229</v>
      </c>
      <c r="F5" s="163"/>
    </row>
    <row r="6" spans="1:7" x14ac:dyDescent="0.2">
      <c r="A6" s="10" t="s">
        <v>53</v>
      </c>
      <c r="B6" s="2">
        <v>49.067164179104481</v>
      </c>
      <c r="C6" s="2">
        <v>50.932835820895527</v>
      </c>
      <c r="D6" s="2"/>
      <c r="E6" s="171">
        <v>536</v>
      </c>
      <c r="F6" s="163"/>
    </row>
    <row r="7" spans="1:7" x14ac:dyDescent="0.2">
      <c r="A7" s="10" t="s">
        <v>61</v>
      </c>
      <c r="B7" s="2">
        <v>0</v>
      </c>
      <c r="C7" s="2">
        <v>100</v>
      </c>
      <c r="D7" s="2"/>
      <c r="E7" s="171">
        <v>42</v>
      </c>
      <c r="F7" s="163"/>
    </row>
    <row r="8" spans="1:7" x14ac:dyDescent="0.2">
      <c r="A8" s="10" t="s">
        <v>58</v>
      </c>
      <c r="B8" s="2">
        <v>11.66666666666667</v>
      </c>
      <c r="C8" s="2">
        <v>88.333333333333329</v>
      </c>
      <c r="D8" s="2"/>
      <c r="E8" s="171">
        <v>120</v>
      </c>
      <c r="F8" s="163"/>
    </row>
    <row r="9" spans="1:7" x14ac:dyDescent="0.2">
      <c r="A9" s="10" t="s">
        <v>59</v>
      </c>
      <c r="B9" s="2">
        <v>12.121212121212119</v>
      </c>
      <c r="C9" s="2">
        <v>87.878787878787875</v>
      </c>
      <c r="D9" s="2"/>
      <c r="E9" s="171">
        <v>33</v>
      </c>
      <c r="F9" s="163"/>
    </row>
    <row r="10" spans="1:7" x14ac:dyDescent="0.2">
      <c r="A10" s="10"/>
      <c r="B10" s="163"/>
      <c r="C10" s="163"/>
      <c r="D10" s="163"/>
      <c r="E10" s="173"/>
      <c r="F10" s="163"/>
    </row>
    <row r="11" spans="1:7" x14ac:dyDescent="0.2">
      <c r="A11" s="10" t="s">
        <v>60</v>
      </c>
      <c r="B11" s="2">
        <v>71.75398633257403</v>
      </c>
      <c r="C11" s="2">
        <v>28.24601366742597</v>
      </c>
      <c r="D11" s="2"/>
      <c r="E11" s="171">
        <v>439</v>
      </c>
      <c r="F11" s="163"/>
    </row>
    <row r="12" spans="1:7" x14ac:dyDescent="0.2">
      <c r="A12" s="10" t="s">
        <v>62</v>
      </c>
      <c r="B12" s="2">
        <v>2.8037383177570092</v>
      </c>
      <c r="C12" s="2">
        <v>97.196261682242991</v>
      </c>
      <c r="D12" s="2"/>
      <c r="E12" s="171">
        <v>107</v>
      </c>
      <c r="F12" s="162"/>
    </row>
    <row r="13" spans="1:7" x14ac:dyDescent="0.2">
      <c r="A13" s="10" t="s">
        <v>63</v>
      </c>
      <c r="B13" s="2">
        <v>23.134328358208951</v>
      </c>
      <c r="C13" s="2">
        <v>76.865671641791039</v>
      </c>
      <c r="D13" s="2"/>
      <c r="E13" s="171">
        <v>268</v>
      </c>
      <c r="F13" s="163"/>
    </row>
    <row r="14" spans="1:7" x14ac:dyDescent="0.2">
      <c r="A14" s="10" t="s">
        <v>64</v>
      </c>
      <c r="B14" s="2">
        <v>24.242424242424239</v>
      </c>
      <c r="C14" s="2">
        <v>75.757575757575751</v>
      </c>
      <c r="D14" s="2"/>
      <c r="E14" s="171">
        <v>33</v>
      </c>
      <c r="F14" s="163"/>
    </row>
    <row r="15" spans="1:7" x14ac:dyDescent="0.2">
      <c r="A15" s="10" t="s">
        <v>65</v>
      </c>
      <c r="B15" s="2">
        <v>12.90322580645161</v>
      </c>
      <c r="C15" s="2">
        <v>87.096774193548384</v>
      </c>
      <c r="D15" s="2"/>
      <c r="E15" s="171">
        <v>31</v>
      </c>
      <c r="F15" s="163"/>
    </row>
    <row r="16" spans="1:7" x14ac:dyDescent="0.2">
      <c r="A16" s="10" t="s">
        <v>59</v>
      </c>
      <c r="B16" s="2">
        <v>46.25</v>
      </c>
      <c r="C16" s="2">
        <v>53.75</v>
      </c>
      <c r="D16" s="2"/>
      <c r="E16" s="171">
        <v>80</v>
      </c>
      <c r="F16" s="163"/>
    </row>
    <row r="17" spans="1:6" x14ac:dyDescent="0.2">
      <c r="A17" s="10"/>
      <c r="F17" s="162"/>
    </row>
    <row r="18" spans="1:6" x14ac:dyDescent="0.2">
      <c r="A18" s="5"/>
      <c r="B18" s="163"/>
      <c r="C18" s="163"/>
      <c r="D18" s="163"/>
      <c r="E18" s="163"/>
      <c r="F18" s="163"/>
    </row>
    <row r="19" spans="1:6" x14ac:dyDescent="0.2">
      <c r="A19" s="5"/>
      <c r="B19" s="163"/>
      <c r="C19" s="163"/>
      <c r="D19" s="163"/>
      <c r="E19" s="163"/>
      <c r="F19" s="163"/>
    </row>
    <row r="20" spans="1:6" x14ac:dyDescent="0.2">
      <c r="A20" s="5"/>
      <c r="B20" s="163"/>
      <c r="C20" s="163"/>
      <c r="D20" s="163"/>
      <c r="E20" s="163"/>
      <c r="F20" s="163"/>
    </row>
    <row r="21" spans="1:6" x14ac:dyDescent="0.2">
      <c r="A21" s="5"/>
      <c r="B21" s="2"/>
      <c r="C21" s="2"/>
      <c r="D21" s="2"/>
      <c r="E21" s="2"/>
      <c r="F21" s="163"/>
    </row>
    <row r="22" spans="1:6" x14ac:dyDescent="0.2">
      <c r="A22" s="5"/>
      <c r="B22" s="163"/>
      <c r="C22" s="163"/>
      <c r="D22" s="163"/>
      <c r="E22" s="163"/>
      <c r="F22" s="163"/>
    </row>
    <row r="23" spans="1:6" x14ac:dyDescent="0.2">
      <c r="A23" s="5"/>
      <c r="B23" s="163"/>
      <c r="C23" s="163"/>
      <c r="D23" s="163"/>
      <c r="E23" s="163"/>
      <c r="F23" s="163"/>
    </row>
    <row r="24" spans="1:6" x14ac:dyDescent="0.2">
      <c r="A24" s="5"/>
      <c r="B24" s="163"/>
      <c r="C24" s="163"/>
      <c r="D24" s="163"/>
      <c r="E24" s="163"/>
      <c r="F24" s="163"/>
    </row>
    <row r="25" spans="1:6" x14ac:dyDescent="0.2">
      <c r="A25" s="159"/>
    </row>
  </sheetData>
  <mergeCells count="1">
    <mergeCell ref="B1:F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E5CF5-04D3-1F4F-8ADD-97388051751F}">
  <dimension ref="A1:W25"/>
  <sheetViews>
    <sheetView tabSelected="1" topLeftCell="B1" zoomScale="81" zoomScaleNormal="130" workbookViewId="0">
      <selection activeCell="C25" sqref="C25"/>
    </sheetView>
  </sheetViews>
  <sheetFormatPr baseColWidth="10" defaultRowHeight="15" x14ac:dyDescent="0.2"/>
  <cols>
    <col min="2" max="2" width="25.1640625" bestFit="1" customWidth="1"/>
  </cols>
  <sheetData>
    <row r="1" spans="1:23" ht="128" x14ac:dyDescent="0.2">
      <c r="A1" s="157"/>
      <c r="B1" s="159"/>
      <c r="C1" s="174" t="s">
        <v>75</v>
      </c>
      <c r="D1" s="174" t="s">
        <v>75</v>
      </c>
      <c r="E1" s="174" t="s">
        <v>76</v>
      </c>
      <c r="F1" s="174" t="s">
        <v>76</v>
      </c>
      <c r="G1" s="174" t="s">
        <v>77</v>
      </c>
      <c r="H1" s="174" t="s">
        <v>77</v>
      </c>
      <c r="I1" s="174" t="s">
        <v>78</v>
      </c>
      <c r="J1" s="174" t="s">
        <v>78</v>
      </c>
      <c r="K1" s="174" t="s">
        <v>79</v>
      </c>
      <c r="L1" s="174" t="s">
        <v>79</v>
      </c>
      <c r="M1" s="174" t="s">
        <v>80</v>
      </c>
      <c r="N1" s="174" t="s">
        <v>80</v>
      </c>
      <c r="O1" s="174" t="s">
        <v>81</v>
      </c>
      <c r="P1" s="174" t="s">
        <v>81</v>
      </c>
      <c r="Q1" s="174" t="s">
        <v>82</v>
      </c>
      <c r="R1" s="174" t="s">
        <v>82</v>
      </c>
      <c r="S1" s="174" t="s">
        <v>83</v>
      </c>
      <c r="T1" s="174" t="s">
        <v>83</v>
      </c>
      <c r="U1" s="174" t="s">
        <v>84</v>
      </c>
      <c r="V1" s="174" t="s">
        <v>84</v>
      </c>
      <c r="W1" s="175" t="s">
        <v>0</v>
      </c>
    </row>
    <row r="2" spans="1:23" ht="32" x14ac:dyDescent="0.2">
      <c r="B2" s="185"/>
      <c r="C2" s="174" t="s">
        <v>75</v>
      </c>
      <c r="D2" s="176">
        <v>50</v>
      </c>
      <c r="E2" s="174" t="s">
        <v>76</v>
      </c>
      <c r="F2" s="176">
        <v>50</v>
      </c>
      <c r="G2" s="174" t="s">
        <v>96</v>
      </c>
      <c r="H2" s="176">
        <v>50</v>
      </c>
      <c r="I2" s="174" t="s">
        <v>97</v>
      </c>
      <c r="J2" s="176">
        <v>50</v>
      </c>
      <c r="K2" s="174" t="s">
        <v>98</v>
      </c>
      <c r="L2" s="176">
        <v>50</v>
      </c>
      <c r="M2" s="174" t="s">
        <v>80</v>
      </c>
      <c r="N2" s="176">
        <v>50</v>
      </c>
      <c r="O2" s="174" t="s">
        <v>81</v>
      </c>
      <c r="P2" s="176">
        <v>50</v>
      </c>
      <c r="Q2" s="174" t="s">
        <v>99</v>
      </c>
      <c r="R2" s="176">
        <v>50</v>
      </c>
      <c r="S2" s="174" t="s">
        <v>100</v>
      </c>
      <c r="T2" s="176">
        <v>50</v>
      </c>
      <c r="U2" s="174" t="s">
        <v>84</v>
      </c>
      <c r="V2" s="176">
        <v>50</v>
      </c>
      <c r="W2" s="176">
        <v>100</v>
      </c>
    </row>
    <row r="3" spans="1:23" x14ac:dyDescent="0.2">
      <c r="B3" s="185" t="s">
        <v>85</v>
      </c>
      <c r="C3" s="176">
        <v>10.3</v>
      </c>
      <c r="D3" s="176">
        <f>$C$25-C3</f>
        <v>39.700000000000003</v>
      </c>
      <c r="E3" s="176">
        <v>15.98</v>
      </c>
      <c r="F3" s="176">
        <f>$C$25-E3</f>
        <v>34.019999999999996</v>
      </c>
      <c r="G3" s="176">
        <v>15.72</v>
      </c>
      <c r="H3" s="176">
        <f>$C$25-G3</f>
        <v>34.28</v>
      </c>
      <c r="I3" s="176">
        <v>12.29</v>
      </c>
      <c r="J3" s="176">
        <f>$C$25-I3</f>
        <v>37.71</v>
      </c>
      <c r="K3" s="176">
        <v>11.11</v>
      </c>
      <c r="L3" s="176">
        <f>$C$25-K3</f>
        <v>38.89</v>
      </c>
      <c r="M3" s="176">
        <v>14.97</v>
      </c>
      <c r="N3" s="176">
        <f>$C$25-M3</f>
        <v>35.03</v>
      </c>
      <c r="O3" s="176">
        <v>3.65</v>
      </c>
      <c r="P3" s="176">
        <f>$C$25-O3</f>
        <v>46.35</v>
      </c>
      <c r="Q3" s="176">
        <v>3.3</v>
      </c>
      <c r="R3" s="176">
        <f>$C$25-Q3</f>
        <v>46.7</v>
      </c>
      <c r="S3" s="176">
        <v>4.76</v>
      </c>
      <c r="T3" s="176">
        <f>$C$25-S3</f>
        <v>45.24</v>
      </c>
      <c r="U3" s="176">
        <v>7.91</v>
      </c>
      <c r="V3" s="176">
        <f>$C$25-U3</f>
        <v>42.09</v>
      </c>
      <c r="W3" s="176">
        <v>100</v>
      </c>
    </row>
    <row r="4" spans="1:23" x14ac:dyDescent="0.2">
      <c r="A4" s="186" t="s">
        <v>86</v>
      </c>
      <c r="C4" s="186"/>
      <c r="D4" s="184"/>
      <c r="E4" s="181"/>
      <c r="F4" s="181"/>
      <c r="G4" s="182"/>
      <c r="H4" s="182"/>
      <c r="I4" s="177"/>
      <c r="J4" s="177"/>
      <c r="K4" s="177"/>
      <c r="L4" s="177"/>
      <c r="M4" s="177"/>
      <c r="N4" s="177"/>
      <c r="O4" s="177"/>
      <c r="P4" s="176"/>
      <c r="Q4" s="177"/>
      <c r="R4" s="177"/>
      <c r="S4" s="177"/>
      <c r="T4" s="177"/>
      <c r="U4" s="177"/>
      <c r="V4" s="177"/>
      <c r="W4" s="183"/>
    </row>
    <row r="5" spans="1:23" x14ac:dyDescent="0.2">
      <c r="A5" s="157"/>
      <c r="B5" t="s">
        <v>54</v>
      </c>
      <c r="C5" s="178">
        <v>12.058602554470321</v>
      </c>
      <c r="D5" s="176">
        <f t="shared" ref="D5:D9" si="0">$C$25-C5</f>
        <v>37.941397445529681</v>
      </c>
      <c r="E5" s="178">
        <v>30.015026296018029</v>
      </c>
      <c r="F5" s="176">
        <f t="shared" ref="F5:F9" si="1">$C$25-E5</f>
        <v>19.984973703981971</v>
      </c>
      <c r="G5" s="178">
        <v>12.17129977460556</v>
      </c>
      <c r="H5" s="176">
        <f t="shared" ref="H5:H9" si="2">$C$25-G5</f>
        <v>37.828700225394442</v>
      </c>
      <c r="I5" s="178">
        <v>7.8512396694214877</v>
      </c>
      <c r="J5" s="176">
        <f t="shared" ref="J5:J9" si="3">$C$25-I5</f>
        <v>42.148760330578511</v>
      </c>
      <c r="K5" s="178">
        <v>8.9030803906836962</v>
      </c>
      <c r="L5" s="176">
        <f t="shared" ref="L5:L9" si="4">$C$25-K5</f>
        <v>41.096919609316302</v>
      </c>
      <c r="M5" s="178">
        <v>7.9639368895567246</v>
      </c>
      <c r="N5" s="176">
        <f t="shared" ref="N5:N9" si="5">$C$25-M5</f>
        <v>42.036063110443273</v>
      </c>
      <c r="O5" s="178">
        <v>1.3523666416228399</v>
      </c>
      <c r="P5" s="176">
        <f t="shared" ref="P5:P9" si="6">$C$25-O5</f>
        <v>48.647633358377163</v>
      </c>
      <c r="Q5" s="178">
        <v>6.9496619083395936</v>
      </c>
      <c r="R5" s="176">
        <f t="shared" ref="R5:R9" si="7">$C$25-Q5</f>
        <v>43.050338091660407</v>
      </c>
      <c r="S5" s="178">
        <v>4.3200601051840728</v>
      </c>
      <c r="T5" s="176">
        <f t="shared" ref="T5:T9" si="8">$C$25-S5</f>
        <v>45.679939894815931</v>
      </c>
      <c r="U5" s="178">
        <v>8.4147257700976716</v>
      </c>
      <c r="V5" s="176">
        <f t="shared" ref="V5:V9" si="9">$C$25-U5</f>
        <v>41.585274229902325</v>
      </c>
      <c r="W5" s="178">
        <v>100</v>
      </c>
    </row>
    <row r="6" spans="1:23" x14ac:dyDescent="0.2">
      <c r="A6" s="157"/>
      <c r="B6" t="s">
        <v>53</v>
      </c>
      <c r="C6" s="178">
        <v>9.55607476635514</v>
      </c>
      <c r="D6" s="176">
        <f t="shared" si="0"/>
        <v>40.443925233644862</v>
      </c>
      <c r="E6" s="178">
        <v>7.7803738317757016</v>
      </c>
      <c r="F6" s="176">
        <f t="shared" si="1"/>
        <v>42.219626168224295</v>
      </c>
      <c r="G6" s="178">
        <v>18.411214953271031</v>
      </c>
      <c r="H6" s="176">
        <f t="shared" si="2"/>
        <v>31.588785046728969</v>
      </c>
      <c r="I6" s="178">
        <v>14.696261682242991</v>
      </c>
      <c r="J6" s="176">
        <f t="shared" si="3"/>
        <v>35.303738317757009</v>
      </c>
      <c r="K6" s="178">
        <v>11.16822429906542</v>
      </c>
      <c r="L6" s="176">
        <f t="shared" si="4"/>
        <v>38.831775700934578</v>
      </c>
      <c r="M6" s="178">
        <v>19.859813084112151</v>
      </c>
      <c r="N6" s="176">
        <f t="shared" si="5"/>
        <v>30.140186915887849</v>
      </c>
      <c r="O6" s="178">
        <v>4.9065420560747661</v>
      </c>
      <c r="P6" s="176">
        <f t="shared" si="6"/>
        <v>45.09345794392523</v>
      </c>
      <c r="Q6" s="178">
        <v>1.238317757009346</v>
      </c>
      <c r="R6" s="176">
        <f t="shared" si="7"/>
        <v>48.761682242990652</v>
      </c>
      <c r="S6" s="178">
        <v>5.2803738317757007</v>
      </c>
      <c r="T6" s="176">
        <f t="shared" si="8"/>
        <v>44.719626168224302</v>
      </c>
      <c r="U6" s="178">
        <v>7.1028037383177578</v>
      </c>
      <c r="V6" s="176">
        <f t="shared" si="9"/>
        <v>42.89719626168224</v>
      </c>
      <c r="W6" s="178">
        <v>100</v>
      </c>
    </row>
    <row r="7" spans="1:23" x14ac:dyDescent="0.2">
      <c r="A7" s="157"/>
      <c r="B7" t="s">
        <v>61</v>
      </c>
      <c r="C7" s="178">
        <v>3.6585365853658529</v>
      </c>
      <c r="D7" s="176">
        <f t="shared" si="0"/>
        <v>46.341463414634148</v>
      </c>
      <c r="E7" s="178">
        <v>17.073170731707322</v>
      </c>
      <c r="F7" s="176">
        <f t="shared" si="1"/>
        <v>32.926829268292678</v>
      </c>
      <c r="G7" s="178">
        <v>18.292682926829269</v>
      </c>
      <c r="H7" s="176">
        <f t="shared" si="2"/>
        <v>31.707317073170731</v>
      </c>
      <c r="I7" s="178">
        <v>13.414634146341459</v>
      </c>
      <c r="J7" s="176">
        <f t="shared" si="3"/>
        <v>36.585365853658544</v>
      </c>
      <c r="K7" s="178">
        <v>28.04878048780488</v>
      </c>
      <c r="L7" s="176">
        <f t="shared" si="4"/>
        <v>21.95121951219512</v>
      </c>
      <c r="M7" s="178">
        <v>4.8780487804878048</v>
      </c>
      <c r="N7" s="176">
        <f t="shared" si="5"/>
        <v>45.121951219512198</v>
      </c>
      <c r="O7" s="178">
        <v>3.6585365853658529</v>
      </c>
      <c r="P7" s="176">
        <f t="shared" si="6"/>
        <v>46.341463414634148</v>
      </c>
      <c r="Q7" s="178">
        <v>4.8780487804878048</v>
      </c>
      <c r="R7" s="176">
        <f t="shared" si="7"/>
        <v>45.121951219512198</v>
      </c>
      <c r="S7" s="178">
        <v>2.4390243902439019</v>
      </c>
      <c r="T7" s="176">
        <f t="shared" si="8"/>
        <v>47.560975609756099</v>
      </c>
      <c r="U7" s="178">
        <v>3.6585365853658529</v>
      </c>
      <c r="V7" s="176">
        <f t="shared" si="9"/>
        <v>46.341463414634148</v>
      </c>
      <c r="W7" s="178">
        <v>100</v>
      </c>
    </row>
    <row r="8" spans="1:23" x14ac:dyDescent="0.2">
      <c r="A8" s="157"/>
      <c r="B8" t="s">
        <v>58</v>
      </c>
      <c r="C8" s="178">
        <v>2.6865671641791038</v>
      </c>
      <c r="D8" s="176">
        <f t="shared" si="0"/>
        <v>47.313432835820898</v>
      </c>
      <c r="E8" s="178">
        <v>11.343283582089549</v>
      </c>
      <c r="F8" s="176">
        <f t="shared" si="1"/>
        <v>38.656716417910452</v>
      </c>
      <c r="G8" s="178">
        <v>20</v>
      </c>
      <c r="H8" s="176">
        <f t="shared" si="2"/>
        <v>30</v>
      </c>
      <c r="I8" s="178">
        <v>15.82089552238806</v>
      </c>
      <c r="J8" s="176">
        <f t="shared" si="3"/>
        <v>34.179104477611943</v>
      </c>
      <c r="K8" s="178">
        <v>26.567164179104481</v>
      </c>
      <c r="L8" s="176">
        <f t="shared" si="4"/>
        <v>23.432835820895519</v>
      </c>
      <c r="M8" s="178">
        <v>8.0597014925373127</v>
      </c>
      <c r="N8" s="176">
        <f t="shared" si="5"/>
        <v>41.940298507462686</v>
      </c>
      <c r="O8" s="178">
        <v>2.6865671641791038</v>
      </c>
      <c r="P8" s="176">
        <f t="shared" si="6"/>
        <v>47.313432835820898</v>
      </c>
      <c r="Q8" s="178">
        <v>2.9850746268656709</v>
      </c>
      <c r="R8" s="176">
        <f t="shared" si="7"/>
        <v>47.014925373134332</v>
      </c>
      <c r="S8" s="178">
        <v>3.5820895522388061</v>
      </c>
      <c r="T8" s="176">
        <f t="shared" si="8"/>
        <v>46.417910447761194</v>
      </c>
      <c r="U8" s="178">
        <v>6.2686567164179099</v>
      </c>
      <c r="V8" s="176">
        <f t="shared" si="9"/>
        <v>43.731343283582092</v>
      </c>
      <c r="W8" s="178">
        <v>100</v>
      </c>
    </row>
    <row r="9" spans="1:23" x14ac:dyDescent="0.2">
      <c r="A9" s="157"/>
      <c r="B9" s="179" t="s">
        <v>59</v>
      </c>
      <c r="C9" s="180">
        <v>5</v>
      </c>
      <c r="D9" s="176">
        <f t="shared" si="0"/>
        <v>45</v>
      </c>
      <c r="E9" s="180">
        <v>19.285714285714288</v>
      </c>
      <c r="F9" s="176">
        <f t="shared" si="1"/>
        <v>30.714285714285712</v>
      </c>
      <c r="G9" s="180">
        <v>18.571428571428569</v>
      </c>
      <c r="H9" s="176">
        <f t="shared" si="2"/>
        <v>31.428571428571431</v>
      </c>
      <c r="I9" s="180">
        <v>12.857142857142859</v>
      </c>
      <c r="J9" s="176">
        <f t="shared" si="3"/>
        <v>37.142857142857139</v>
      </c>
      <c r="K9" s="180">
        <v>17.857142857142861</v>
      </c>
      <c r="L9" s="176">
        <f t="shared" si="4"/>
        <v>32.142857142857139</v>
      </c>
      <c r="M9" s="180">
        <v>9.2857142857142865</v>
      </c>
      <c r="N9" s="176">
        <f t="shared" si="5"/>
        <v>40.714285714285715</v>
      </c>
      <c r="O9" s="180">
        <v>2.8571428571428572</v>
      </c>
      <c r="P9" s="176">
        <f t="shared" si="6"/>
        <v>47.142857142857146</v>
      </c>
      <c r="Q9" s="180">
        <v>2.1428571428571428</v>
      </c>
      <c r="R9" s="176">
        <f t="shared" si="7"/>
        <v>47.857142857142854</v>
      </c>
      <c r="S9" s="180">
        <v>3.5714285714285712</v>
      </c>
      <c r="T9" s="176">
        <f t="shared" si="8"/>
        <v>46.428571428571431</v>
      </c>
      <c r="U9" s="180">
        <v>8.5714285714285712</v>
      </c>
      <c r="V9" s="176">
        <f t="shared" si="9"/>
        <v>41.428571428571431</v>
      </c>
      <c r="W9" s="178">
        <v>100</v>
      </c>
    </row>
    <row r="10" spans="1:23" x14ac:dyDescent="0.2">
      <c r="A10" s="186" t="s">
        <v>87</v>
      </c>
      <c r="C10" s="186"/>
      <c r="D10" s="184"/>
      <c r="E10" s="181"/>
      <c r="F10" s="181"/>
      <c r="G10" s="182"/>
      <c r="H10" s="182"/>
      <c r="I10" s="182"/>
      <c r="J10" s="182"/>
      <c r="K10" s="182"/>
      <c r="L10" s="182"/>
      <c r="M10" s="182"/>
      <c r="N10" s="176"/>
      <c r="O10" s="182"/>
      <c r="P10" s="176"/>
      <c r="Q10" s="182"/>
      <c r="R10" s="182"/>
      <c r="S10" s="182"/>
      <c r="T10" s="182"/>
      <c r="U10" s="182"/>
      <c r="V10" s="182"/>
      <c r="W10" s="183"/>
    </row>
    <row r="11" spans="1:23" x14ac:dyDescent="0.2">
      <c r="A11" s="157"/>
      <c r="B11" s="157" t="s">
        <v>60</v>
      </c>
      <c r="C11" s="178">
        <v>11.95357833655706</v>
      </c>
      <c r="D11" s="176">
        <f t="shared" ref="D11:D16" si="10">$C$25-C11</f>
        <v>38.046421663442942</v>
      </c>
      <c r="E11" s="178">
        <v>17.427466150870401</v>
      </c>
      <c r="F11" s="176">
        <f t="shared" ref="F11:F16" si="11">$C$25-E11</f>
        <v>32.572533849129599</v>
      </c>
      <c r="G11" s="178">
        <v>15.14506769825919</v>
      </c>
      <c r="H11" s="176">
        <f t="shared" ref="H11:H16" si="12">$C$25-G11</f>
        <v>34.85493230174081</v>
      </c>
      <c r="I11" s="178">
        <v>10.48355899419729</v>
      </c>
      <c r="J11" s="176">
        <f t="shared" ref="J11:J16" si="13">$C$25-I11</f>
        <v>39.516441005802712</v>
      </c>
      <c r="K11" s="178">
        <v>7.7949709864603474</v>
      </c>
      <c r="L11" s="176">
        <f t="shared" ref="L11:L16" si="14">$C$25-K11</f>
        <v>42.205029013539651</v>
      </c>
      <c r="M11" s="178">
        <v>16.034816247582199</v>
      </c>
      <c r="N11" s="176">
        <f t="shared" ref="N11:N16" si="15">$C$25-M11</f>
        <v>33.965183752417801</v>
      </c>
      <c r="O11" s="178">
        <v>3.4816247582205029</v>
      </c>
      <c r="P11" s="176">
        <f t="shared" ref="P11:P16" si="16">$C$25-O11</f>
        <v>46.518375241779495</v>
      </c>
      <c r="Q11" s="178">
        <v>4.042553191489362</v>
      </c>
      <c r="R11" s="176">
        <f t="shared" ref="R11:R16" si="17">$C$25-Q11</f>
        <v>45.957446808510639</v>
      </c>
      <c r="S11" s="178">
        <v>5.2030947775628622</v>
      </c>
      <c r="T11" s="176">
        <f t="shared" ref="T11:T16" si="18">$C$25-S11</f>
        <v>44.79690522243714</v>
      </c>
      <c r="U11" s="178">
        <v>8.4332688588007745</v>
      </c>
      <c r="V11" s="176">
        <f t="shared" ref="V11:V16" si="19">$C$25-U11</f>
        <v>41.566731141199227</v>
      </c>
      <c r="W11" s="178">
        <v>100</v>
      </c>
    </row>
    <row r="12" spans="1:23" x14ac:dyDescent="0.2">
      <c r="A12" s="157"/>
      <c r="B12" s="157" t="s">
        <v>62</v>
      </c>
      <c r="C12" s="178">
        <v>3.333333333333333</v>
      </c>
      <c r="D12" s="176">
        <f t="shared" si="10"/>
        <v>46.666666666666664</v>
      </c>
      <c r="E12" s="178">
        <v>10.303030303030299</v>
      </c>
      <c r="F12" s="176">
        <f t="shared" si="11"/>
        <v>39.696969696969703</v>
      </c>
      <c r="G12" s="178">
        <v>20.90909090909091</v>
      </c>
      <c r="H12" s="176">
        <f t="shared" si="12"/>
        <v>29.09090909090909</v>
      </c>
      <c r="I12" s="178">
        <v>19.393939393939391</v>
      </c>
      <c r="J12" s="176">
        <f t="shared" si="13"/>
        <v>30.606060606060609</v>
      </c>
      <c r="K12" s="178">
        <v>20.303030303030301</v>
      </c>
      <c r="L12" s="176">
        <f t="shared" si="14"/>
        <v>29.696969696969699</v>
      </c>
      <c r="M12" s="178">
        <v>10.90909090909091</v>
      </c>
      <c r="N12" s="176">
        <f t="shared" si="15"/>
        <v>39.090909090909093</v>
      </c>
      <c r="O12" s="178">
        <v>4.8484848484848486</v>
      </c>
      <c r="P12" s="176">
        <f t="shared" si="16"/>
        <v>45.151515151515149</v>
      </c>
      <c r="Q12" s="178">
        <v>2.4242424242424239</v>
      </c>
      <c r="R12" s="176">
        <f t="shared" si="17"/>
        <v>47.575757575757578</v>
      </c>
      <c r="S12" s="178">
        <v>3.939393939393939</v>
      </c>
      <c r="T12" s="176">
        <f t="shared" si="18"/>
        <v>46.060606060606062</v>
      </c>
      <c r="U12" s="178">
        <v>3.6363636363636358</v>
      </c>
      <c r="V12" s="176">
        <f t="shared" si="19"/>
        <v>46.363636363636367</v>
      </c>
      <c r="W12" s="178">
        <v>100</v>
      </c>
    </row>
    <row r="13" spans="1:23" x14ac:dyDescent="0.2">
      <c r="A13" s="157"/>
      <c r="B13" s="157" t="s">
        <v>63</v>
      </c>
      <c r="C13" s="178">
        <v>6.25</v>
      </c>
      <c r="D13" s="176">
        <f t="shared" si="10"/>
        <v>43.75</v>
      </c>
      <c r="E13" s="178">
        <v>11.97183098591549</v>
      </c>
      <c r="F13" s="176">
        <f t="shared" si="11"/>
        <v>38.028169014084511</v>
      </c>
      <c r="G13" s="178">
        <v>18.573943661971828</v>
      </c>
      <c r="H13" s="176">
        <f t="shared" si="12"/>
        <v>31.426056338028172</v>
      </c>
      <c r="I13" s="178">
        <v>18.926056338028172</v>
      </c>
      <c r="J13" s="176">
        <f t="shared" si="13"/>
        <v>31.073943661971828</v>
      </c>
      <c r="K13" s="178">
        <v>18.39788732394366</v>
      </c>
      <c r="L13" s="176">
        <f t="shared" si="14"/>
        <v>31.60211267605634</v>
      </c>
      <c r="M13" s="178">
        <v>12.05985915492958</v>
      </c>
      <c r="N13" s="176">
        <f t="shared" si="15"/>
        <v>37.940140845070417</v>
      </c>
      <c r="O13" s="178">
        <v>3.433098591549296</v>
      </c>
      <c r="P13" s="176">
        <f t="shared" si="16"/>
        <v>46.566901408450704</v>
      </c>
      <c r="Q13" s="178">
        <v>1.672535211267606</v>
      </c>
      <c r="R13" s="176">
        <f t="shared" si="17"/>
        <v>48.327464788732392</v>
      </c>
      <c r="S13" s="178">
        <v>4.225352112676056</v>
      </c>
      <c r="T13" s="176">
        <f t="shared" si="18"/>
        <v>45.774647887323944</v>
      </c>
      <c r="U13" s="178">
        <v>4.48943661971831</v>
      </c>
      <c r="V13" s="176">
        <f t="shared" si="19"/>
        <v>45.510563380281688</v>
      </c>
      <c r="W13" s="178">
        <v>100</v>
      </c>
    </row>
    <row r="14" spans="1:23" x14ac:dyDescent="0.2">
      <c r="A14" s="157"/>
      <c r="B14" s="157" t="s">
        <v>64</v>
      </c>
      <c r="C14" s="178">
        <v>6.0439560439560438</v>
      </c>
      <c r="D14" s="176">
        <f t="shared" si="10"/>
        <v>43.956043956043956</v>
      </c>
      <c r="E14" s="178">
        <v>18.681318681318679</v>
      </c>
      <c r="F14" s="176">
        <f t="shared" si="11"/>
        <v>31.318681318681321</v>
      </c>
      <c r="G14" s="178">
        <v>17.032967032967029</v>
      </c>
      <c r="H14" s="176">
        <f t="shared" si="12"/>
        <v>32.967032967032971</v>
      </c>
      <c r="I14" s="178">
        <v>11.53846153846154</v>
      </c>
      <c r="J14" s="176">
        <f t="shared" si="13"/>
        <v>38.46153846153846</v>
      </c>
      <c r="K14" s="178">
        <v>23.626373626373621</v>
      </c>
      <c r="L14" s="176">
        <f t="shared" si="14"/>
        <v>26.373626373626379</v>
      </c>
      <c r="M14" s="178">
        <v>7.6923076923076934</v>
      </c>
      <c r="N14" s="176">
        <f t="shared" si="15"/>
        <v>42.307692307692307</v>
      </c>
      <c r="O14" s="178">
        <v>2.7472527472527468</v>
      </c>
      <c r="P14" s="176">
        <f t="shared" si="16"/>
        <v>47.252747252747255</v>
      </c>
      <c r="Q14" s="178">
        <v>3.8461538461538458</v>
      </c>
      <c r="R14" s="176">
        <f t="shared" si="17"/>
        <v>46.153846153846153</v>
      </c>
      <c r="S14" s="178">
        <v>2.7472527472527468</v>
      </c>
      <c r="T14" s="176">
        <f t="shared" si="18"/>
        <v>47.252747252747255</v>
      </c>
      <c r="U14" s="178">
        <v>6.0439560439560438</v>
      </c>
      <c r="V14" s="176">
        <f t="shared" si="19"/>
        <v>43.956043956043956</v>
      </c>
      <c r="W14" s="178">
        <v>100</v>
      </c>
    </row>
    <row r="15" spans="1:23" x14ac:dyDescent="0.2">
      <c r="A15" s="157"/>
      <c r="B15" s="157" t="s">
        <v>65</v>
      </c>
      <c r="C15" s="178">
        <v>3.8461538461538458</v>
      </c>
      <c r="D15" s="176">
        <f t="shared" si="10"/>
        <v>46.153846153846153</v>
      </c>
      <c r="E15" s="178">
        <v>11.53846153846154</v>
      </c>
      <c r="F15" s="176">
        <f t="shared" si="11"/>
        <v>38.46153846153846</v>
      </c>
      <c r="G15" s="178">
        <v>19.23076923076923</v>
      </c>
      <c r="H15" s="176">
        <f t="shared" si="12"/>
        <v>30.76923076923077</v>
      </c>
      <c r="I15" s="178">
        <v>10.76923076923077</v>
      </c>
      <c r="J15" s="176">
        <f t="shared" si="13"/>
        <v>39.230769230769226</v>
      </c>
      <c r="K15" s="178">
        <v>25.38461538461538</v>
      </c>
      <c r="L15" s="176">
        <f t="shared" si="14"/>
        <v>24.61538461538462</v>
      </c>
      <c r="M15" s="178">
        <v>10</v>
      </c>
      <c r="N15" s="176">
        <f t="shared" si="15"/>
        <v>40</v>
      </c>
      <c r="O15" s="178">
        <v>3.0769230769230771</v>
      </c>
      <c r="P15" s="176">
        <f t="shared" si="16"/>
        <v>46.92307692307692</v>
      </c>
      <c r="Q15" s="178">
        <v>4.6153846153846159</v>
      </c>
      <c r="R15" s="176">
        <f t="shared" si="17"/>
        <v>45.384615384615387</v>
      </c>
      <c r="S15" s="178">
        <v>5.384615384615385</v>
      </c>
      <c r="T15" s="176">
        <f t="shared" si="18"/>
        <v>44.615384615384613</v>
      </c>
      <c r="U15" s="178">
        <v>6.1538461538461542</v>
      </c>
      <c r="V15" s="176">
        <f t="shared" si="19"/>
        <v>43.846153846153847</v>
      </c>
      <c r="W15" s="178">
        <v>100</v>
      </c>
    </row>
    <row r="16" spans="1:23" x14ac:dyDescent="0.2">
      <c r="A16" s="179"/>
      <c r="B16" s="179" t="s">
        <v>59</v>
      </c>
      <c r="C16" s="180">
        <v>5.6974459724950881</v>
      </c>
      <c r="D16" s="176">
        <f t="shared" si="10"/>
        <v>44.302554027504911</v>
      </c>
      <c r="E16" s="180">
        <v>16.110019646365419</v>
      </c>
      <c r="F16" s="176">
        <f t="shared" si="11"/>
        <v>33.889980353634584</v>
      </c>
      <c r="G16" s="180">
        <v>18.860510805500979</v>
      </c>
      <c r="H16" s="176">
        <f t="shared" si="12"/>
        <v>31.139489194499021</v>
      </c>
      <c r="I16" s="180">
        <v>12.18074656188605</v>
      </c>
      <c r="J16" s="176">
        <f t="shared" si="13"/>
        <v>37.819253438113947</v>
      </c>
      <c r="K16" s="180">
        <v>16.895874263261291</v>
      </c>
      <c r="L16" s="176">
        <f t="shared" si="14"/>
        <v>33.104125736738709</v>
      </c>
      <c r="M16" s="180">
        <v>14.34184675834971</v>
      </c>
      <c r="N16" s="176">
        <f t="shared" si="15"/>
        <v>35.65815324165029</v>
      </c>
      <c r="O16" s="180">
        <v>2.7504911591355601</v>
      </c>
      <c r="P16" s="176">
        <f t="shared" si="16"/>
        <v>47.249508840864436</v>
      </c>
      <c r="Q16" s="180">
        <v>1.178781925343811</v>
      </c>
      <c r="R16" s="176">
        <f t="shared" si="17"/>
        <v>48.821218074656187</v>
      </c>
      <c r="S16" s="180">
        <v>2.946954813359528</v>
      </c>
      <c r="T16" s="176">
        <f t="shared" si="18"/>
        <v>47.053045186640475</v>
      </c>
      <c r="U16" s="180">
        <v>9.0373280943025556</v>
      </c>
      <c r="V16" s="176">
        <f t="shared" si="19"/>
        <v>40.962671905697448</v>
      </c>
      <c r="W16" s="180">
        <v>100</v>
      </c>
    </row>
    <row r="17" spans="2:23" x14ac:dyDescent="0.2">
      <c r="C17" s="178">
        <v>0</v>
      </c>
      <c r="D17" s="178">
        <v>0</v>
      </c>
      <c r="E17" s="178">
        <v>50</v>
      </c>
      <c r="F17" s="178">
        <v>0</v>
      </c>
      <c r="G17" s="178">
        <v>100</v>
      </c>
      <c r="H17" s="178">
        <v>0</v>
      </c>
      <c r="I17" s="178">
        <v>150</v>
      </c>
      <c r="J17" s="178">
        <v>0</v>
      </c>
      <c r="K17" s="178">
        <v>200</v>
      </c>
      <c r="L17" s="178">
        <v>0</v>
      </c>
      <c r="M17" s="178">
        <v>250</v>
      </c>
      <c r="N17" s="178">
        <v>0</v>
      </c>
      <c r="O17" s="178">
        <v>300</v>
      </c>
      <c r="P17" s="178">
        <v>0</v>
      </c>
      <c r="Q17" s="178">
        <v>350</v>
      </c>
      <c r="R17" s="178">
        <v>0</v>
      </c>
      <c r="S17" s="178">
        <v>400</v>
      </c>
      <c r="T17" s="178">
        <v>0</v>
      </c>
      <c r="U17" s="178">
        <v>450</v>
      </c>
      <c r="V17" s="178">
        <v>0</v>
      </c>
      <c r="W17" s="178">
        <v>500</v>
      </c>
    </row>
    <row r="18" spans="2:23" x14ac:dyDescent="0.2">
      <c r="B18" s="7"/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</row>
    <row r="25" spans="2:23" x14ac:dyDescent="0.2">
      <c r="B25" s="7" t="s">
        <v>95</v>
      </c>
      <c r="C25">
        <v>50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7B0A-28E0-E041-A8A6-8814A7583056}">
  <dimension ref="A1:G25"/>
  <sheetViews>
    <sheetView topLeftCell="D1" zoomScale="112" zoomScaleNormal="120" workbookViewId="0">
      <selection activeCell="E20" sqref="E20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88</v>
      </c>
      <c r="C1" s="5"/>
      <c r="D1" s="5"/>
      <c r="E1" s="5"/>
      <c r="F1" s="5"/>
      <c r="G1" s="5"/>
    </row>
    <row r="2" spans="1:7" x14ac:dyDescent="0.2">
      <c r="A2" s="10"/>
      <c r="B2" t="s">
        <v>89</v>
      </c>
      <c r="C2" t="s">
        <v>90</v>
      </c>
      <c r="D2" t="s">
        <v>91</v>
      </c>
      <c r="E2" t="s">
        <v>92</v>
      </c>
      <c r="F2" t="s">
        <v>93</v>
      </c>
      <c r="G2" s="4"/>
    </row>
    <row r="3" spans="1:7" x14ac:dyDescent="0.2">
      <c r="A3" s="5" t="s">
        <v>56</v>
      </c>
      <c r="B3">
        <v>3.48</v>
      </c>
      <c r="C3">
        <v>6.61</v>
      </c>
      <c r="D3">
        <v>35.020000000000003</v>
      </c>
      <c r="E3">
        <v>32.56</v>
      </c>
      <c r="F3">
        <v>22.32</v>
      </c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2">
        <v>5.4368203974503189</v>
      </c>
      <c r="C5" s="2">
        <v>7.1991001124859402</v>
      </c>
      <c r="D5" s="2">
        <v>39.48256467941507</v>
      </c>
      <c r="E5" s="2">
        <v>31.458567679040119</v>
      </c>
      <c r="F5" s="2">
        <v>16.422947131608549</v>
      </c>
      <c r="G5" s="2"/>
    </row>
    <row r="6" spans="1:7" x14ac:dyDescent="0.2">
      <c r="A6" s="10" t="s">
        <v>53</v>
      </c>
      <c r="B6" s="2">
        <v>2.2227421619092178</v>
      </c>
      <c r="C6" s="2">
        <v>6.3406644829199816</v>
      </c>
      <c r="D6" s="2">
        <v>32.686008423022933</v>
      </c>
      <c r="E6" s="2">
        <v>32.569021993448757</v>
      </c>
      <c r="F6" s="2">
        <v>26.181562938699109</v>
      </c>
      <c r="G6" s="2"/>
    </row>
    <row r="7" spans="1:7" x14ac:dyDescent="0.2">
      <c r="A7" s="10" t="s">
        <v>61</v>
      </c>
      <c r="B7" s="2">
        <v>1.219512195121951</v>
      </c>
      <c r="C7" s="2">
        <v>3.6585365853658529</v>
      </c>
      <c r="D7" s="2">
        <v>36.585365853658537</v>
      </c>
      <c r="E7" s="2">
        <v>36.585365853658537</v>
      </c>
      <c r="F7" s="2">
        <v>21.95121951219512</v>
      </c>
      <c r="G7" s="2"/>
    </row>
    <row r="8" spans="1:7" x14ac:dyDescent="0.2">
      <c r="A8" s="10" t="s">
        <v>58</v>
      </c>
      <c r="B8" s="2">
        <v>1.796407185628742</v>
      </c>
      <c r="C8" s="2">
        <v>4.1916167664670656</v>
      </c>
      <c r="D8" s="2">
        <v>34.730538922155688</v>
      </c>
      <c r="E8" s="2">
        <v>31.437125748502989</v>
      </c>
      <c r="F8" s="2">
        <v>27.844311377245511</v>
      </c>
      <c r="G8" s="2"/>
    </row>
    <row r="9" spans="1:7" x14ac:dyDescent="0.2">
      <c r="A9" s="10" t="s">
        <v>59</v>
      </c>
      <c r="B9" s="2">
        <v>2.8571428571428572</v>
      </c>
      <c r="C9" s="2">
        <v>6.4285714285714279</v>
      </c>
      <c r="D9" s="2">
        <v>36.428571428571423</v>
      </c>
      <c r="E9" s="2">
        <v>31.428571428571431</v>
      </c>
      <c r="F9" s="2">
        <v>22.857142857142861</v>
      </c>
      <c r="G9" s="2"/>
    </row>
    <row r="10" spans="1:7" x14ac:dyDescent="0.2">
      <c r="A10" s="10"/>
      <c r="B10" s="168"/>
      <c r="C10" s="168"/>
      <c r="D10" s="168"/>
      <c r="E10" s="168"/>
      <c r="F10" s="2"/>
      <c r="G10" s="2"/>
    </row>
    <row r="11" spans="1:7" x14ac:dyDescent="0.2">
      <c r="A11" s="10" t="s">
        <v>60</v>
      </c>
      <c r="B11" s="2">
        <v>3.7681159420289858</v>
      </c>
      <c r="C11" s="2">
        <v>7.2657004830917877</v>
      </c>
      <c r="D11" s="2">
        <v>37.024154589371982</v>
      </c>
      <c r="E11" s="2">
        <v>31.439613526570049</v>
      </c>
      <c r="F11" s="2">
        <v>20.5024154589372</v>
      </c>
      <c r="G11" s="2"/>
    </row>
    <row r="12" spans="1:7" x14ac:dyDescent="0.2">
      <c r="A12" s="10" t="s">
        <v>62</v>
      </c>
      <c r="B12" s="2">
        <v>2.735562310030395</v>
      </c>
      <c r="C12" s="2">
        <v>3.9513677811550152</v>
      </c>
      <c r="D12" s="2">
        <v>30.091185410334351</v>
      </c>
      <c r="E12" s="2">
        <v>36.474164133738597</v>
      </c>
      <c r="F12" s="2">
        <v>26.747720364741639</v>
      </c>
      <c r="G12" s="2"/>
    </row>
    <row r="13" spans="1:7" x14ac:dyDescent="0.2">
      <c r="A13" s="10" t="s">
        <v>63</v>
      </c>
      <c r="B13" s="2">
        <v>2.204585537918871</v>
      </c>
      <c r="C13" s="2">
        <v>4.9382716049382713</v>
      </c>
      <c r="D13" s="2">
        <v>29.982363315696649</v>
      </c>
      <c r="E13" s="2">
        <v>32.275132275132272</v>
      </c>
      <c r="F13" s="2">
        <v>30.59964726631393</v>
      </c>
      <c r="G13" s="165"/>
    </row>
    <row r="14" spans="1:7" x14ac:dyDescent="0.2">
      <c r="A14" s="10" t="s">
        <v>64</v>
      </c>
      <c r="B14" s="2">
        <v>1.104972375690608</v>
      </c>
      <c r="C14" s="2">
        <v>4.4198895027624303</v>
      </c>
      <c r="D14" s="2">
        <v>31.49171270718232</v>
      </c>
      <c r="E14" s="2">
        <v>37.016574585635361</v>
      </c>
      <c r="F14" s="2">
        <v>25.966850828729282</v>
      </c>
      <c r="G14" s="2"/>
    </row>
    <row r="15" spans="1:7" x14ac:dyDescent="0.2">
      <c r="A15" s="10" t="s">
        <v>65</v>
      </c>
      <c r="B15" s="2">
        <v>2.290076335877862</v>
      </c>
      <c r="C15" s="2">
        <v>3.053435114503817</v>
      </c>
      <c r="D15" s="2">
        <v>33.587786259541993</v>
      </c>
      <c r="E15" s="2">
        <v>35.877862595419849</v>
      </c>
      <c r="F15" s="2">
        <v>25.190839694656489</v>
      </c>
      <c r="G15" s="2"/>
    </row>
    <row r="16" spans="1:7" x14ac:dyDescent="0.2">
      <c r="A16" s="10" t="s">
        <v>59</v>
      </c>
      <c r="B16" s="2">
        <v>2.569169960474309</v>
      </c>
      <c r="C16" s="2">
        <v>6.1264822134387353</v>
      </c>
      <c r="D16" s="2">
        <v>35.573122529644273</v>
      </c>
      <c r="E16" s="2">
        <v>33.596837944664031</v>
      </c>
      <c r="F16" s="2">
        <v>22.13438735177866</v>
      </c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7F834-6F51-5044-BC10-CF378D9271E4}">
  <dimension ref="A1:G25"/>
  <sheetViews>
    <sheetView topLeftCell="A8" zoomScale="120" zoomScaleNormal="120" workbookViewId="0">
      <selection activeCell="A4" sqref="A4:XFD4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67</v>
      </c>
      <c r="C1" s="5"/>
      <c r="D1" s="5"/>
      <c r="E1" s="5"/>
      <c r="F1" s="5"/>
      <c r="G1" s="5"/>
    </row>
    <row r="2" spans="1:7" x14ac:dyDescent="0.2">
      <c r="A2" s="10"/>
      <c r="B2" s="155" t="s">
        <v>41</v>
      </c>
      <c r="C2" s="155" t="s">
        <v>40</v>
      </c>
      <c r="D2" s="155" t="s">
        <v>39</v>
      </c>
      <c r="E2" s="155" t="s">
        <v>38</v>
      </c>
      <c r="F2" s="4"/>
      <c r="G2" s="4"/>
    </row>
    <row r="3" spans="1:7" x14ac:dyDescent="0.2">
      <c r="A3" s="5" t="s">
        <v>56</v>
      </c>
      <c r="B3" s="2">
        <v>3.17</v>
      </c>
      <c r="C3" s="2">
        <v>8.58</v>
      </c>
      <c r="D3" s="2">
        <v>16.920000000000002</v>
      </c>
      <c r="E3" s="2">
        <v>71.33</v>
      </c>
      <c r="F3" s="154"/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2">
        <v>0.78799249530956861</v>
      </c>
      <c r="C5" s="2">
        <v>2.1013133208255161</v>
      </c>
      <c r="D5" s="2">
        <v>5.5534709193245781</v>
      </c>
      <c r="E5" s="2">
        <v>91.557223264540326</v>
      </c>
      <c r="F5" s="151"/>
      <c r="G5" s="2"/>
    </row>
    <row r="6" spans="1:7" x14ac:dyDescent="0.2">
      <c r="A6" s="10" t="s">
        <v>53</v>
      </c>
      <c r="B6" s="2">
        <v>2.276995305164319</v>
      </c>
      <c r="C6" s="2">
        <v>10.16431924882629</v>
      </c>
      <c r="D6" s="2">
        <v>22.93427230046948</v>
      </c>
      <c r="E6" s="2">
        <v>64.624413145539904</v>
      </c>
      <c r="F6" s="151"/>
      <c r="G6" s="2"/>
    </row>
    <row r="7" spans="1:7" x14ac:dyDescent="0.2">
      <c r="A7" s="10" t="s">
        <v>61</v>
      </c>
      <c r="B7" s="2">
        <v>40.243902439024403</v>
      </c>
      <c r="C7" s="2">
        <v>39.024390243902438</v>
      </c>
      <c r="D7" s="2">
        <v>13.4146341463415</v>
      </c>
      <c r="E7" s="2">
        <v>7.3170731707317067</v>
      </c>
      <c r="F7" s="151"/>
      <c r="G7" s="2"/>
    </row>
    <row r="8" spans="1:7" x14ac:dyDescent="0.2">
      <c r="A8" s="10" t="s">
        <v>58</v>
      </c>
      <c r="B8" s="2">
        <v>22.089552238805972</v>
      </c>
      <c r="C8" s="2">
        <v>28.35820895522388</v>
      </c>
      <c r="D8" s="2">
        <v>27.761194029850749</v>
      </c>
      <c r="E8" s="2">
        <v>21.791044776119399</v>
      </c>
      <c r="F8" s="151"/>
      <c r="G8" s="2"/>
    </row>
    <row r="9" spans="1:7" x14ac:dyDescent="0.2">
      <c r="A9" s="10" t="s">
        <v>59</v>
      </c>
      <c r="B9" s="2">
        <v>10.869565217391299</v>
      </c>
      <c r="C9" s="2">
        <v>18.840579710144929</v>
      </c>
      <c r="D9" s="2">
        <v>34.782608695652172</v>
      </c>
      <c r="E9" s="2">
        <v>35.507246376811587</v>
      </c>
      <c r="F9" s="151"/>
      <c r="G9" s="2"/>
    </row>
    <row r="10" spans="1:7" x14ac:dyDescent="0.2">
      <c r="A10" s="10"/>
      <c r="B10" s="168"/>
      <c r="C10" s="168"/>
      <c r="D10" s="168"/>
      <c r="E10" s="168"/>
      <c r="F10" s="151"/>
      <c r="G10" s="2"/>
    </row>
    <row r="11" spans="1:7" x14ac:dyDescent="0.2">
      <c r="A11" s="10"/>
      <c r="B11" s="167"/>
      <c r="C11" s="167"/>
      <c r="D11" s="167"/>
      <c r="E11" s="167"/>
      <c r="F11" s="151"/>
      <c r="G11" s="2"/>
    </row>
    <row r="12" spans="1:7" x14ac:dyDescent="0.2">
      <c r="A12" s="10"/>
      <c r="B12" s="167"/>
      <c r="C12" s="167"/>
      <c r="D12" s="167"/>
      <c r="E12" s="167"/>
      <c r="F12" s="152"/>
      <c r="G12" s="2"/>
    </row>
    <row r="13" spans="1:7" x14ac:dyDescent="0.2">
      <c r="A13" s="10"/>
      <c r="B13" s="167"/>
      <c r="C13" s="167"/>
      <c r="D13" s="167"/>
      <c r="E13" s="167"/>
      <c r="F13" s="151"/>
      <c r="G13" s="165"/>
    </row>
    <row r="14" spans="1:7" x14ac:dyDescent="0.2">
      <c r="A14" s="10"/>
      <c r="B14" s="167"/>
      <c r="C14" s="167"/>
      <c r="D14" s="167"/>
      <c r="E14" s="167"/>
      <c r="F14" s="151"/>
      <c r="G14" s="2"/>
    </row>
    <row r="15" spans="1:7" x14ac:dyDescent="0.2">
      <c r="A15" s="10"/>
      <c r="B15" s="167"/>
      <c r="C15" s="167"/>
      <c r="D15" s="167"/>
      <c r="E15" s="167"/>
      <c r="F15" s="151"/>
      <c r="G15" s="2"/>
    </row>
    <row r="16" spans="1:7" x14ac:dyDescent="0.2">
      <c r="A16" s="10"/>
      <c r="B16" s="167"/>
      <c r="C16" s="167"/>
      <c r="D16" s="167"/>
      <c r="E16" s="167"/>
      <c r="F16" s="151"/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C686-0E1D-0D45-8DCF-4BDFD6842772}">
  <dimension ref="A1:G19"/>
  <sheetViews>
    <sheetView topLeftCell="D1" zoomScale="120" zoomScaleNormal="120" workbookViewId="0">
      <selection activeCell="B1" sqref="B1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68</v>
      </c>
      <c r="C1" s="5"/>
      <c r="D1" s="5"/>
      <c r="E1" s="5"/>
      <c r="F1" s="5"/>
      <c r="G1" s="5"/>
    </row>
    <row r="2" spans="1:7" x14ac:dyDescent="0.2">
      <c r="A2" s="10"/>
      <c r="B2" s="155" t="s">
        <v>41</v>
      </c>
      <c r="C2" s="155" t="s">
        <v>40</v>
      </c>
      <c r="D2" s="155" t="s">
        <v>39</v>
      </c>
      <c r="E2" s="155" t="s">
        <v>38</v>
      </c>
      <c r="F2" s="4"/>
      <c r="G2" s="4"/>
    </row>
    <row r="3" spans="1:7" x14ac:dyDescent="0.2">
      <c r="A3" s="5" t="s">
        <v>56</v>
      </c>
      <c r="B3" s="2">
        <v>2.64</v>
      </c>
      <c r="C3" s="2">
        <v>6.65</v>
      </c>
      <c r="D3" s="2">
        <v>12.02</v>
      </c>
      <c r="E3" s="2">
        <v>78.680000000000007</v>
      </c>
      <c r="F3" s="154"/>
      <c r="G3" s="2"/>
    </row>
    <row r="4" spans="1:7" x14ac:dyDescent="0.2">
      <c r="A4" s="8"/>
    </row>
    <row r="5" spans="1:7" x14ac:dyDescent="0.2">
      <c r="A5" s="10" t="s">
        <v>60</v>
      </c>
      <c r="B5" s="2">
        <v>0.60229259762968712</v>
      </c>
      <c r="C5" s="2">
        <v>1.72916261900136</v>
      </c>
      <c r="D5" s="2">
        <v>4.3131921507674376</v>
      </c>
      <c r="E5" s="2">
        <v>93.355352632601523</v>
      </c>
      <c r="F5" s="151"/>
      <c r="G5" s="2"/>
    </row>
    <row r="6" spans="1:7" x14ac:dyDescent="0.2">
      <c r="A6" s="10" t="s">
        <v>62</v>
      </c>
      <c r="B6" s="2">
        <v>13.414634146341459</v>
      </c>
      <c r="C6" s="2">
        <v>29.573170731707311</v>
      </c>
      <c r="D6" s="2">
        <v>33.841463414634148</v>
      </c>
      <c r="E6" s="2">
        <v>23.170731707317071</v>
      </c>
      <c r="F6" s="152"/>
      <c r="G6" s="2"/>
    </row>
    <row r="7" spans="1:7" x14ac:dyDescent="0.2">
      <c r="A7" s="10" t="s">
        <v>63</v>
      </c>
      <c r="B7" s="2">
        <v>6.1511423550087869</v>
      </c>
      <c r="C7" s="2">
        <v>16.34446397188049</v>
      </c>
      <c r="D7" s="2">
        <v>31.370826010544821</v>
      </c>
      <c r="E7" s="2">
        <v>46.133567662565902</v>
      </c>
      <c r="F7" s="151"/>
      <c r="G7" s="165"/>
    </row>
    <row r="8" spans="1:7" x14ac:dyDescent="0.2">
      <c r="A8" s="10" t="s">
        <v>64</v>
      </c>
      <c r="B8" s="2">
        <v>4.9450549450549453</v>
      </c>
      <c r="C8" s="2">
        <v>17.58241758241758</v>
      </c>
      <c r="D8" s="2">
        <v>29.670329670329672</v>
      </c>
      <c r="E8" s="2">
        <v>47.802197802197803</v>
      </c>
      <c r="F8" s="151"/>
      <c r="G8" s="2"/>
    </row>
    <row r="9" spans="1:7" x14ac:dyDescent="0.2">
      <c r="A9" s="10" t="s">
        <v>65</v>
      </c>
      <c r="B9" s="2">
        <v>8.3969465648854964</v>
      </c>
      <c r="C9" s="2">
        <v>24.427480916030529</v>
      </c>
      <c r="D9" s="2">
        <v>33.587786259541993</v>
      </c>
      <c r="E9" s="2">
        <v>33.587786259541993</v>
      </c>
      <c r="F9" s="151"/>
      <c r="G9" s="2"/>
    </row>
    <row r="10" spans="1:7" x14ac:dyDescent="0.2">
      <c r="A10" s="10" t="s">
        <v>59</v>
      </c>
      <c r="B10" s="2">
        <v>4.9603174603174596</v>
      </c>
      <c r="C10" s="2">
        <v>10.11904761904762</v>
      </c>
      <c r="D10" s="2">
        <v>22.81746031746032</v>
      </c>
      <c r="E10" s="2">
        <v>62.103174603174608</v>
      </c>
      <c r="F10" s="151"/>
      <c r="G10" s="2"/>
    </row>
    <row r="11" spans="1:7" x14ac:dyDescent="0.2">
      <c r="A11" s="10"/>
      <c r="B11" s="152"/>
      <c r="C11" s="152"/>
      <c r="D11" s="152"/>
      <c r="E11" s="152"/>
      <c r="F11" s="152"/>
      <c r="G11" s="153"/>
    </row>
    <row r="12" spans="1:7" x14ac:dyDescent="0.2">
      <c r="A12" s="5"/>
      <c r="B12" s="151"/>
      <c r="C12" s="151"/>
      <c r="D12" s="151"/>
      <c r="E12" s="151"/>
      <c r="F12" s="151"/>
      <c r="G12" s="2"/>
    </row>
    <row r="13" spans="1:7" x14ac:dyDescent="0.2">
      <c r="A13" s="5"/>
      <c r="B13" s="151"/>
      <c r="C13" s="151"/>
      <c r="D13" s="151"/>
      <c r="E13" s="151"/>
      <c r="F13" s="151"/>
      <c r="G13" s="2"/>
    </row>
    <row r="14" spans="1:7" x14ac:dyDescent="0.2">
      <c r="A14" s="5"/>
      <c r="B14" s="151"/>
      <c r="C14" s="151"/>
      <c r="D14" s="151"/>
      <c r="E14" s="151"/>
      <c r="F14" s="151"/>
      <c r="G14" s="2"/>
    </row>
    <row r="15" spans="1:7" x14ac:dyDescent="0.2">
      <c r="A15" s="5"/>
      <c r="B15" s="151"/>
      <c r="C15" s="151"/>
      <c r="D15" s="151"/>
      <c r="E15" s="151"/>
      <c r="F15" s="151"/>
      <c r="G15" s="2"/>
    </row>
    <row r="16" spans="1:7" x14ac:dyDescent="0.2">
      <c r="A16" s="5"/>
      <c r="B16" s="151"/>
      <c r="C16" s="151"/>
      <c r="D16" s="151"/>
      <c r="E16" s="151"/>
      <c r="F16" s="151"/>
      <c r="G16" s="2"/>
    </row>
    <row r="17" spans="1:7" x14ac:dyDescent="0.2">
      <c r="A17" s="5"/>
      <c r="B17" s="151"/>
      <c r="C17" s="151"/>
      <c r="D17" s="151"/>
      <c r="E17" s="151"/>
      <c r="F17" s="151"/>
      <c r="G17" s="2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10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8619D-A4B6-B148-B8AF-880774B88C0A}">
  <dimension ref="A1:G25"/>
  <sheetViews>
    <sheetView topLeftCell="D1" zoomScale="120" zoomScaleNormal="120" workbookViewId="0">
      <selection activeCell="D25" sqref="D25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69</v>
      </c>
      <c r="C1" s="5"/>
      <c r="D1" s="5"/>
      <c r="E1" s="5"/>
      <c r="F1" s="5"/>
      <c r="G1" s="5"/>
    </row>
    <row r="2" spans="1:7" x14ac:dyDescent="0.2">
      <c r="A2" s="10"/>
      <c r="B2" s="155" t="s">
        <v>41</v>
      </c>
      <c r="C2" s="155" t="s">
        <v>40</v>
      </c>
      <c r="D2" s="155" t="s">
        <v>39</v>
      </c>
      <c r="E2" s="155" t="s">
        <v>38</v>
      </c>
      <c r="F2" s="4"/>
      <c r="G2" s="4"/>
    </row>
    <row r="3" spans="1:7" x14ac:dyDescent="0.2">
      <c r="A3" s="5" t="s">
        <v>56</v>
      </c>
      <c r="B3" s="166">
        <v>16.3</v>
      </c>
      <c r="C3" s="166">
        <v>25.72</v>
      </c>
      <c r="D3" s="167">
        <v>31.22</v>
      </c>
      <c r="E3" s="166">
        <v>26.76</v>
      </c>
      <c r="F3" s="154"/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167">
        <v>13.03201506591337</v>
      </c>
      <c r="C5" s="167">
        <v>21.657250470809789</v>
      </c>
      <c r="D5" s="167">
        <v>31.638418079096049</v>
      </c>
      <c r="E5" s="167">
        <v>33.672316384180789</v>
      </c>
      <c r="F5" s="151"/>
      <c r="G5" s="2"/>
    </row>
    <row r="6" spans="1:7" x14ac:dyDescent="0.2">
      <c r="A6" s="10" t="s">
        <v>53</v>
      </c>
      <c r="B6" s="167">
        <v>17.384183434721571</v>
      </c>
      <c r="C6" s="167">
        <v>27.819372952737481</v>
      </c>
      <c r="D6" s="167">
        <v>31.539541413196069</v>
      </c>
      <c r="E6" s="167">
        <v>23.256902199344879</v>
      </c>
      <c r="F6" s="151"/>
      <c r="G6" s="2"/>
    </row>
    <row r="7" spans="1:7" x14ac:dyDescent="0.2">
      <c r="A7" s="10" t="s">
        <v>61</v>
      </c>
      <c r="B7" s="167">
        <v>25.609756097560979</v>
      </c>
      <c r="C7" s="167">
        <v>21.95121951219512</v>
      </c>
      <c r="D7" s="167">
        <v>26.829268292682929</v>
      </c>
      <c r="E7" s="167">
        <v>25.609756097560979</v>
      </c>
      <c r="F7" s="151"/>
      <c r="G7" s="2"/>
    </row>
    <row r="8" spans="1:7" x14ac:dyDescent="0.2">
      <c r="A8" s="10" t="s">
        <v>58</v>
      </c>
      <c r="B8" s="167">
        <v>25.377643504531719</v>
      </c>
      <c r="C8" s="167">
        <v>29.305135951661629</v>
      </c>
      <c r="D8" s="167">
        <v>28.09667673716012</v>
      </c>
      <c r="E8" s="167">
        <v>17.220543806646521</v>
      </c>
      <c r="F8" s="151"/>
      <c r="G8" s="2"/>
    </row>
    <row r="9" spans="1:7" x14ac:dyDescent="0.2">
      <c r="A9" s="10" t="s">
        <v>59</v>
      </c>
      <c r="B9" s="167">
        <v>27.338129496402878</v>
      </c>
      <c r="C9" s="167">
        <v>25.899280575539571</v>
      </c>
      <c r="D9" s="167">
        <v>25.17985611510791</v>
      </c>
      <c r="E9" s="167">
        <v>21.582733812949641</v>
      </c>
      <c r="F9" s="151"/>
      <c r="G9" s="2"/>
    </row>
    <row r="10" spans="1:7" x14ac:dyDescent="0.2">
      <c r="A10" s="10"/>
      <c r="B10" s="168"/>
      <c r="C10" s="168"/>
      <c r="D10" s="168"/>
      <c r="E10" s="168"/>
      <c r="F10" s="2"/>
      <c r="G10" s="2"/>
    </row>
    <row r="11" spans="1:7" x14ac:dyDescent="0.2">
      <c r="A11" s="10" t="s">
        <v>60</v>
      </c>
      <c r="B11" s="167">
        <v>14.401858304297329</v>
      </c>
      <c r="C11" s="167">
        <v>24.370886566008519</v>
      </c>
      <c r="D11" s="167">
        <v>31.591173054587689</v>
      </c>
      <c r="E11" s="167">
        <v>29.636082075106469</v>
      </c>
      <c r="F11" s="2"/>
      <c r="G11" s="2"/>
    </row>
    <row r="12" spans="1:7" x14ac:dyDescent="0.2">
      <c r="A12" s="10" t="s">
        <v>62</v>
      </c>
      <c r="B12" s="167">
        <v>21.212121212121211</v>
      </c>
      <c r="C12" s="167">
        <v>26.666666666666671</v>
      </c>
      <c r="D12" s="167">
        <v>32.121212121212118</v>
      </c>
      <c r="E12" s="167">
        <v>20</v>
      </c>
      <c r="F12" s="170"/>
      <c r="G12" s="2"/>
    </row>
    <row r="13" spans="1:7" x14ac:dyDescent="0.2">
      <c r="A13" s="10" t="s">
        <v>63</v>
      </c>
      <c r="B13" s="167">
        <v>20.211827007943519</v>
      </c>
      <c r="C13" s="167">
        <v>29.21447484554281</v>
      </c>
      <c r="D13" s="167">
        <v>30.450132391879961</v>
      </c>
      <c r="E13" s="167">
        <v>20.12356575463372</v>
      </c>
      <c r="F13" s="2"/>
      <c r="G13" s="165"/>
    </row>
    <row r="14" spans="1:7" x14ac:dyDescent="0.2">
      <c r="A14" s="10" t="s">
        <v>64</v>
      </c>
      <c r="B14" s="167">
        <v>18.333333333333329</v>
      </c>
      <c r="C14" s="167">
        <v>30</v>
      </c>
      <c r="D14" s="167">
        <v>31.666666666666661</v>
      </c>
      <c r="E14" s="167">
        <v>20</v>
      </c>
      <c r="F14" s="2"/>
      <c r="G14" s="2"/>
    </row>
    <row r="15" spans="1:7" x14ac:dyDescent="0.2">
      <c r="A15" s="10" t="s">
        <v>65</v>
      </c>
      <c r="B15" s="167">
        <v>24.806201550387598</v>
      </c>
      <c r="C15" s="167">
        <v>24.806201550387598</v>
      </c>
      <c r="D15" s="167">
        <v>29.45736434108527</v>
      </c>
      <c r="E15" s="167">
        <v>20.93023255813954</v>
      </c>
      <c r="F15" s="2"/>
      <c r="G15" s="2"/>
    </row>
    <row r="16" spans="1:7" x14ac:dyDescent="0.2">
      <c r="A16" s="10" t="s">
        <v>59</v>
      </c>
      <c r="B16" s="167">
        <v>22.772277227722771</v>
      </c>
      <c r="C16" s="167">
        <v>26.53465346534654</v>
      </c>
      <c r="D16" s="167">
        <v>30.297029702970299</v>
      </c>
      <c r="E16" s="167">
        <v>20.3960396039604</v>
      </c>
      <c r="F16" s="151"/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192F-1891-2540-8283-809DD68F4726}">
  <dimension ref="A1:G25"/>
  <sheetViews>
    <sheetView topLeftCell="D1" zoomScale="120" zoomScaleNormal="120" workbookViewId="0">
      <selection activeCell="D25" sqref="D25"/>
    </sheetView>
  </sheetViews>
  <sheetFormatPr baseColWidth="10" defaultRowHeight="15" x14ac:dyDescent="0.2"/>
  <cols>
    <col min="1" max="1" width="38.6640625" style="144" customWidth="1"/>
    <col min="2" max="2" width="14.33203125" style="8" bestFit="1" customWidth="1"/>
    <col min="3" max="3" width="16.33203125" style="8" bestFit="1" customWidth="1"/>
    <col min="4" max="4" width="22.6640625" style="8" customWidth="1"/>
    <col min="5" max="5" width="14" style="8" bestFit="1" customWidth="1"/>
    <col min="6" max="6" width="12.1640625" style="8" bestFit="1" customWidth="1"/>
    <col min="7" max="16384" width="10.83203125" style="8"/>
  </cols>
  <sheetData>
    <row r="1" spans="1:7" ht="16" customHeight="1" x14ac:dyDescent="0.2">
      <c r="A1" s="143"/>
      <c r="B1" s="5" t="s">
        <v>57</v>
      </c>
      <c r="C1" s="5"/>
      <c r="D1" s="5"/>
      <c r="E1" s="5"/>
      <c r="F1" s="5"/>
      <c r="G1" s="5"/>
    </row>
    <row r="2" spans="1:7" x14ac:dyDescent="0.2">
      <c r="A2" s="10"/>
      <c r="B2" s="155" t="s">
        <v>41</v>
      </c>
      <c r="C2" s="155" t="s">
        <v>40</v>
      </c>
      <c r="D2" s="155" t="s">
        <v>39</v>
      </c>
      <c r="E2" s="155" t="s">
        <v>38</v>
      </c>
      <c r="F2" s="4"/>
      <c r="G2" s="4"/>
    </row>
    <row r="3" spans="1:7" x14ac:dyDescent="0.2">
      <c r="A3" s="5" t="s">
        <v>56</v>
      </c>
      <c r="B3" s="166">
        <v>11.62</v>
      </c>
      <c r="C3" s="166">
        <v>22.43</v>
      </c>
      <c r="D3" s="167">
        <v>32.97</v>
      </c>
      <c r="E3" s="166">
        <v>32.979999999999997</v>
      </c>
      <c r="F3" s="154"/>
      <c r="G3" s="2"/>
    </row>
    <row r="4" spans="1:7" x14ac:dyDescent="0.2">
      <c r="A4" s="10"/>
      <c r="B4" s="164"/>
      <c r="C4" s="164"/>
      <c r="D4" s="164"/>
      <c r="E4" s="164"/>
      <c r="F4" s="154"/>
      <c r="G4" s="2"/>
    </row>
    <row r="5" spans="1:7" x14ac:dyDescent="0.2">
      <c r="A5" s="10" t="s">
        <v>54</v>
      </c>
      <c r="B5" s="167">
        <v>6.8421052631578956</v>
      </c>
      <c r="C5" s="167">
        <v>16.578947368421051</v>
      </c>
      <c r="D5" s="167">
        <v>30.977443609022561</v>
      </c>
      <c r="E5" s="167">
        <v>45.601503759398497</v>
      </c>
      <c r="F5" s="151"/>
      <c r="G5" s="2"/>
    </row>
    <row r="6" spans="1:7" x14ac:dyDescent="0.2">
      <c r="A6" s="10" t="s">
        <v>53</v>
      </c>
      <c r="B6" s="167">
        <v>12.848116077697171</v>
      </c>
      <c r="C6" s="167">
        <v>24.970746548092681</v>
      </c>
      <c r="D6" s="167">
        <v>34.870114673531482</v>
      </c>
      <c r="E6" s="167">
        <v>27.311022700678681</v>
      </c>
      <c r="F6" s="151"/>
      <c r="G6" s="2"/>
    </row>
    <row r="7" spans="1:7" x14ac:dyDescent="0.2">
      <c r="A7" s="10" t="s">
        <v>61</v>
      </c>
      <c r="B7" s="167">
        <v>23.170731707317071</v>
      </c>
      <c r="C7" s="167">
        <v>31.707317073170731</v>
      </c>
      <c r="D7" s="167">
        <v>30.487804878048781</v>
      </c>
      <c r="E7" s="167">
        <v>14.63414634146341</v>
      </c>
      <c r="F7" s="151"/>
      <c r="G7" s="2"/>
    </row>
    <row r="8" spans="1:7" x14ac:dyDescent="0.2">
      <c r="A8" s="10" t="s">
        <v>58</v>
      </c>
      <c r="B8" s="167">
        <v>26.268656716417912</v>
      </c>
      <c r="C8" s="167">
        <v>29.552238805970148</v>
      </c>
      <c r="D8" s="167">
        <v>31.343283582089551</v>
      </c>
      <c r="E8" s="167">
        <v>12.83582089552239</v>
      </c>
      <c r="F8" s="151"/>
      <c r="G8" s="2"/>
    </row>
    <row r="9" spans="1:7" x14ac:dyDescent="0.2">
      <c r="A9" s="10" t="s">
        <v>59</v>
      </c>
      <c r="B9" s="167">
        <v>27.338129496402878</v>
      </c>
      <c r="C9" s="167">
        <v>25.17985611510791</v>
      </c>
      <c r="D9" s="167">
        <v>27.338129496402878</v>
      </c>
      <c r="E9" s="167">
        <v>20.14388489208633</v>
      </c>
      <c r="F9" s="151"/>
      <c r="G9" s="2"/>
    </row>
    <row r="10" spans="1:7" x14ac:dyDescent="0.2">
      <c r="A10" s="10"/>
      <c r="B10" s="168"/>
      <c r="C10" s="168"/>
      <c r="D10" s="168"/>
      <c r="E10" s="168"/>
      <c r="F10" s="151"/>
      <c r="G10" s="2"/>
    </row>
    <row r="11" spans="1:7" x14ac:dyDescent="0.2">
      <c r="A11" s="10" t="s">
        <v>60</v>
      </c>
      <c r="B11" s="167">
        <v>8.6317011805689958</v>
      </c>
      <c r="C11" s="167">
        <v>19.972904973872659</v>
      </c>
      <c r="D11" s="167">
        <v>32.804335204180383</v>
      </c>
      <c r="E11" s="167">
        <v>38.59105864137797</v>
      </c>
      <c r="F11" s="151"/>
      <c r="G11" s="2"/>
    </row>
    <row r="12" spans="1:7" x14ac:dyDescent="0.2">
      <c r="A12" s="10" t="s">
        <v>62</v>
      </c>
      <c r="B12" s="167">
        <v>18.484848484848481</v>
      </c>
      <c r="C12" s="167">
        <v>27.27272727272727</v>
      </c>
      <c r="D12" s="167">
        <v>37.272727272727273</v>
      </c>
      <c r="E12" s="167">
        <v>16.969696969696969</v>
      </c>
      <c r="F12" s="152"/>
      <c r="G12" s="2"/>
    </row>
    <row r="13" spans="1:7" x14ac:dyDescent="0.2">
      <c r="A13" s="10" t="s">
        <v>63</v>
      </c>
      <c r="B13" s="167">
        <v>19.613016710642039</v>
      </c>
      <c r="C13" s="167">
        <v>27.792436235707999</v>
      </c>
      <c r="D13" s="167">
        <v>33.861037818821458</v>
      </c>
      <c r="E13" s="167">
        <v>18.7335092348285</v>
      </c>
      <c r="F13" s="151"/>
      <c r="G13" s="165"/>
    </row>
    <row r="14" spans="1:7" x14ac:dyDescent="0.2">
      <c r="A14" s="10" t="s">
        <v>64</v>
      </c>
      <c r="B14" s="167">
        <v>18.784530386740329</v>
      </c>
      <c r="C14" s="167">
        <v>28.729281767955801</v>
      </c>
      <c r="D14" s="167">
        <v>35.911602209944753</v>
      </c>
      <c r="E14" s="167">
        <v>16.57458563535911</v>
      </c>
      <c r="F14" s="151"/>
      <c r="G14" s="2"/>
    </row>
    <row r="15" spans="1:7" x14ac:dyDescent="0.2">
      <c r="A15" s="10" t="s">
        <v>65</v>
      </c>
      <c r="B15" s="167">
        <v>20.155038759689919</v>
      </c>
      <c r="C15" s="167">
        <v>26.356589147286829</v>
      </c>
      <c r="D15" s="167">
        <v>35.65891472868217</v>
      </c>
      <c r="E15" s="167">
        <v>17.829457364341081</v>
      </c>
      <c r="F15" s="151"/>
      <c r="G15" s="2"/>
    </row>
    <row r="16" spans="1:7" x14ac:dyDescent="0.2">
      <c r="A16" s="10" t="s">
        <v>59</v>
      </c>
      <c r="B16" s="167">
        <v>15.41501976284585</v>
      </c>
      <c r="C16" s="167">
        <v>26.48221343873518</v>
      </c>
      <c r="D16" s="167">
        <v>32.411067193675891</v>
      </c>
      <c r="E16" s="167">
        <v>25.691699604743089</v>
      </c>
      <c r="F16" s="151"/>
      <c r="G16" s="2"/>
    </row>
    <row r="17" spans="1:7" x14ac:dyDescent="0.2">
      <c r="A17" s="10"/>
      <c r="B17" s="152"/>
      <c r="C17" s="152"/>
      <c r="D17" s="152"/>
      <c r="E17" s="152"/>
      <c r="F17" s="152"/>
      <c r="G17" s="153"/>
    </row>
    <row r="18" spans="1:7" x14ac:dyDescent="0.2">
      <c r="A18" s="5"/>
      <c r="B18" s="151"/>
      <c r="C18" s="151"/>
      <c r="D18" s="151"/>
      <c r="E18" s="151"/>
      <c r="F18" s="151"/>
      <c r="G18" s="2"/>
    </row>
    <row r="19" spans="1:7" x14ac:dyDescent="0.2">
      <c r="A19" s="5"/>
      <c r="B19" s="151"/>
      <c r="C19" s="151"/>
      <c r="D19" s="151"/>
      <c r="E19" s="151"/>
      <c r="F19" s="151"/>
      <c r="G19" s="2"/>
    </row>
    <row r="20" spans="1:7" x14ac:dyDescent="0.2">
      <c r="A20" s="5"/>
      <c r="B20" s="151"/>
      <c r="C20" s="151"/>
      <c r="D20" s="151"/>
      <c r="E20" s="151"/>
      <c r="F20" s="151"/>
      <c r="G20" s="2"/>
    </row>
    <row r="21" spans="1:7" x14ac:dyDescent="0.2">
      <c r="A21" s="5"/>
      <c r="B21" s="151"/>
      <c r="C21" s="151"/>
      <c r="D21" s="151"/>
      <c r="E21" s="151"/>
      <c r="F21" s="151"/>
      <c r="G21" s="2"/>
    </row>
    <row r="22" spans="1:7" x14ac:dyDescent="0.2">
      <c r="A22" s="5"/>
      <c r="B22" s="151"/>
      <c r="C22" s="151"/>
      <c r="D22" s="151"/>
      <c r="E22" s="151"/>
      <c r="F22" s="151"/>
      <c r="G22" s="2"/>
    </row>
    <row r="23" spans="1:7" x14ac:dyDescent="0.2">
      <c r="A23" s="5"/>
      <c r="B23" s="151"/>
      <c r="C23" s="151"/>
      <c r="D23" s="151"/>
      <c r="E23" s="151"/>
      <c r="F23" s="151"/>
      <c r="G23" s="2"/>
    </row>
    <row r="24" spans="1:7" x14ac:dyDescent="0.2">
      <c r="A24" s="5"/>
      <c r="B24" s="151"/>
      <c r="C24" s="151"/>
      <c r="D24" s="151"/>
      <c r="E24" s="151"/>
      <c r="F24" s="151"/>
      <c r="G24" s="2"/>
    </row>
    <row r="25" spans="1:7" x14ac:dyDescent="0.2">
      <c r="A25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Figure 1</vt:lpstr>
      <vt:lpstr>Figure 2</vt:lpstr>
      <vt:lpstr>Figure 3</vt:lpstr>
      <vt:lpstr>Table2</vt:lpstr>
      <vt:lpstr>Figure 5</vt:lpstr>
      <vt:lpstr>HS Social</vt:lpstr>
      <vt:lpstr>HS Belonging</vt:lpstr>
      <vt:lpstr>Numbers Bullied</vt:lpstr>
      <vt:lpstr>Bullied for Gender SO</vt:lpstr>
      <vt:lpstr>Major</vt:lpstr>
      <vt:lpstr>Highest Degree</vt:lpstr>
      <vt:lpstr>Worry Discrimation Gender</vt:lpstr>
      <vt:lpstr>Worry Discrimation SO</vt:lpstr>
      <vt:lpstr>Worry Community</vt:lpstr>
      <vt:lpstr>Worry Support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Christina Sun</cp:lastModifiedBy>
  <dcterms:created xsi:type="dcterms:W3CDTF">2023-10-23T23:46:11Z</dcterms:created>
  <dcterms:modified xsi:type="dcterms:W3CDTF">2024-03-05T02:43:36Z</dcterms:modified>
</cp:coreProperties>
</file>