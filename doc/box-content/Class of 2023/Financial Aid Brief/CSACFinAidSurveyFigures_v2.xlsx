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2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3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4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5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6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7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zeiger/Dropbox/Mac/Desktop/"/>
    </mc:Choice>
  </mc:AlternateContent>
  <xr:revisionPtr revIDLastSave="0" documentId="13_ncr:1_{FDA2D8A1-2D5F-D947-BEB0-C89B4212435A}" xr6:coauthVersionLast="47" xr6:coauthVersionMax="47" xr10:uidLastSave="{00000000-0000-0000-0000-000000000000}"/>
  <bookViews>
    <workbookView xWindow="360" yWindow="500" windowWidth="28040" windowHeight="15520" activeTab="10" xr2:uid="{1AF85259-9E97-7D48-B3E2-E0BEEB7754A3}"/>
  </bookViews>
  <sheets>
    <sheet name="Figure 1" sheetId="6" r:id="rId1"/>
    <sheet name="Figure 2" sheetId="1" r:id="rId2"/>
    <sheet name="Figure 3" sheetId="2" r:id="rId3"/>
    <sheet name="Figure 3b" sheetId="8" r:id="rId4"/>
    <sheet name="Figure 3c" sheetId="25" r:id="rId5"/>
    <sheet name="Figure 4" sheetId="19" r:id="rId6"/>
    <sheet name="Figure 4b" sheetId="23" r:id="rId7"/>
    <sheet name="Figure 5" sheetId="28" r:id="rId8"/>
    <sheet name="Figure 6" sheetId="16" r:id="rId9"/>
    <sheet name="Figure 7A" sheetId="30" r:id="rId10"/>
    <sheet name="Figure 7b" sheetId="31" r:id="rId11"/>
    <sheet name="Figure 8" sheetId="3" r:id="rId12"/>
    <sheet name="Figure 8b" sheetId="12" r:id="rId13"/>
    <sheet name="APPENDIX" sheetId="13" r:id="rId14"/>
    <sheet name="Figure A1" sheetId="24" r:id="rId15"/>
    <sheet name="Figure A2" sheetId="33" r:id="rId16"/>
    <sheet name="Figure A3" sheetId="35" r:id="rId17"/>
    <sheet name="Figure A4" sheetId="34" r:id="rId18"/>
    <sheet name="Contact items" sheetId="10" r:id="rId19"/>
    <sheet name="Quotes" sheetId="5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24" l="1"/>
  <c r="M5" i="24"/>
  <c r="M4" i="24"/>
  <c r="M3" i="24"/>
  <c r="J31" i="24" l="1"/>
  <c r="K25" i="24"/>
  <c r="J25" i="24"/>
  <c r="H36" i="24"/>
  <c r="K37" i="24" s="1"/>
  <c r="H30" i="24"/>
  <c r="I31" i="24" s="1"/>
  <c r="H24" i="24"/>
  <c r="I25" i="24" s="1"/>
  <c r="H18" i="24"/>
  <c r="I19" i="24" s="1"/>
  <c r="E22" i="2"/>
  <c r="E21" i="2"/>
  <c r="E20" i="2"/>
  <c r="E19" i="2"/>
  <c r="E18" i="2"/>
  <c r="E17" i="2"/>
  <c r="E16" i="2"/>
  <c r="E15" i="2"/>
  <c r="I37" i="24" l="1"/>
  <c r="J19" i="24"/>
  <c r="K19" i="24"/>
  <c r="J37" i="24"/>
  <c r="K31" i="24"/>
</calcChain>
</file>

<file path=xl/sharedStrings.xml><?xml version="1.0" encoding="utf-8"?>
<sst xmlns="http://schemas.openxmlformats.org/spreadsheetml/2006/main" count="840" uniqueCount="200">
  <si>
    <t>etc.)'</t>
  </si>
  <si>
    <t>Freq.</t>
  </si>
  <si>
    <t>Percent</t>
  </si>
  <si>
    <t>Cum.</t>
  </si>
  <si>
    <t>Total</t>
  </si>
  <si>
    <t>mouth'</t>
  </si>
  <si>
    <t>website'</t>
  </si>
  <si>
    <t>'Other'</t>
  </si>
  <si>
    <t>HS Staff</t>
  </si>
  <si>
    <t>word of</t>
  </si>
  <si>
    <t>Online</t>
  </si>
  <si>
    <t>media'</t>
  </si>
  <si>
    <t>Print</t>
  </si>
  <si>
    <t>workshop'</t>
  </si>
  <si>
    <t>Financial aid</t>
  </si>
  <si>
    <t>Word of mouth</t>
  </si>
  <si>
    <t>Online website</t>
  </si>
  <si>
    <t>Other</t>
  </si>
  <si>
    <t>Public service announcement</t>
  </si>
  <si>
    <t>Financial aid workshop</t>
  </si>
  <si>
    <t>Yes</t>
  </si>
  <si>
    <t>Print media</t>
  </si>
  <si>
    <t>How did you hear about the importance of financial aid?</t>
  </si>
  <si>
    <t>school'</t>
  </si>
  <si>
    <t>FAFSA workshop outside HS</t>
  </si>
  <si>
    <t>counselor'</t>
  </si>
  <si>
    <t>HS</t>
  </si>
  <si>
    <t>parent'</t>
  </si>
  <si>
    <t>Family not</t>
  </si>
  <si>
    <t>'Friend'</t>
  </si>
  <si>
    <t>FAFSA workshop at high</t>
  </si>
  <si>
    <t>own)'</t>
  </si>
  <si>
    <t>No one</t>
  </si>
  <si>
    <t>'Parent'</t>
  </si>
  <si>
    <t>'Teacher'</t>
  </si>
  <si>
    <t>HS Counselor</t>
  </si>
  <si>
    <t>Family not parent</t>
  </si>
  <si>
    <t>Friend</t>
  </si>
  <si>
    <t>Parent</t>
  </si>
  <si>
    <t>Who helped you complete the FAFSA/CADAA?</t>
  </si>
  <si>
    <t>Missing EFC</t>
  </si>
  <si>
    <t>fees</t>
  </si>
  <si>
    <t>Not at all</t>
  </si>
  <si>
    <t>worried</t>
  </si>
  <si>
    <t>Slightly</t>
  </si>
  <si>
    <t>Somewhat</t>
  </si>
  <si>
    <t>Very</t>
  </si>
  <si>
    <t>How worried are you about affording tuition and fees?</t>
  </si>
  <si>
    <t>Very worr</t>
  </si>
  <si>
    <t>No</t>
  </si>
  <si>
    <t>Not at all worried</t>
  </si>
  <si>
    <t>Slightly worried</t>
  </si>
  <si>
    <t>Somewhat worried</t>
  </si>
  <si>
    <t>Very worried</t>
  </si>
  <si>
    <t xml:space="preserve">HS Counselor </t>
  </si>
  <si>
    <t>HS FAFSA Workshop</t>
  </si>
  <si>
    <t>HS Workshop</t>
  </si>
  <si>
    <t>HS FAFSA workshop</t>
  </si>
  <si>
    <t>Affordability Concern</t>
  </si>
  <si>
    <t>Number</t>
  </si>
  <si>
    <t>Percentage of 1451 respondents</t>
  </si>
  <si>
    <t>Employment</t>
  </si>
  <si>
    <t>Cost of attendance</t>
  </si>
  <si>
    <t>Student debt</t>
  </si>
  <si>
    <t>Food</t>
  </si>
  <si>
    <t>Budgeting</t>
  </si>
  <si>
    <t>Family</t>
  </si>
  <si>
    <t>Transportation</t>
  </si>
  <si>
    <t>Instability</t>
  </si>
  <si>
    <t>Not specific</t>
  </si>
  <si>
    <t>Share of Affordability</t>
  </si>
  <si>
    <t>Student debt/ Financial Aid</t>
  </si>
  <si>
    <t>Food/ Budgeting/ Transportation</t>
  </si>
  <si>
    <t>FAFSA/CADAA</t>
  </si>
  <si>
    <t>A</t>
  </si>
  <si>
    <t>Zero EFC</t>
  </si>
  <si>
    <t>Pell-Elig</t>
  </si>
  <si>
    <t>Missing E</t>
  </si>
  <si>
    <t>Not Pell-</t>
  </si>
  <si>
    <t xml:space="preserve">Not Pell-Eligible </t>
  </si>
  <si>
    <t>Pell-Eligible</t>
  </si>
  <si>
    <t>t'</t>
  </si>
  <si>
    <t>PSA</t>
  </si>
  <si>
    <t>efc_bin</t>
  </si>
  <si>
    <t>Not Pell-Eligible</t>
  </si>
  <si>
    <t>Zero</t>
  </si>
  <si>
    <t>Pell-eligible</t>
  </si>
  <si>
    <t xml:space="preserve">Total </t>
  </si>
  <si>
    <t>fall</t>
  </si>
  <si>
    <t>California Community</t>
  </si>
  <si>
    <t>California State Univ</t>
  </si>
  <si>
    <t>University of Califor</t>
  </si>
  <si>
    <t>Private four-year col</t>
  </si>
  <si>
    <t>Vocational, technical</t>
  </si>
  <si>
    <t>College outside of Ca</t>
  </si>
  <si>
    <t>CCC</t>
  </si>
  <si>
    <t>CSU</t>
  </si>
  <si>
    <t>UC</t>
  </si>
  <si>
    <t>Vocational</t>
  </si>
  <si>
    <t>letter'</t>
  </si>
  <si>
    <t>loans'</t>
  </si>
  <si>
    <t>Information about</t>
  </si>
  <si>
    <t>f</t>
  </si>
  <si>
    <t>verrification</t>
  </si>
  <si>
    <t>study'</t>
  </si>
  <si>
    <t>information about work</t>
  </si>
  <si>
    <t>financial aid award/offer</t>
  </si>
  <si>
    <t>expenses</t>
  </si>
  <si>
    <t xml:space="preserve">living </t>
  </si>
  <si>
    <t>obligations</t>
  </si>
  <si>
    <t xml:space="preserve">balancing work </t>
  </si>
  <si>
    <t xml:space="preserve">Not at all </t>
  </si>
  <si>
    <t>Tuition/Fees</t>
  </si>
  <si>
    <t>Living Expenses</t>
  </si>
  <si>
    <t>Balancing Work</t>
  </si>
  <si>
    <t>Balancing work obligations</t>
  </si>
  <si>
    <t>Living expenses</t>
  </si>
  <si>
    <t>Balancing work</t>
  </si>
  <si>
    <t>Figure 3b. FAFSA Support by EFC</t>
  </si>
  <si>
    <t>All Respondents</t>
  </si>
  <si>
    <t>Not</t>
  </si>
  <si>
    <t>Scholarships</t>
  </si>
  <si>
    <t xml:space="preserve">Grants </t>
  </si>
  <si>
    <t>Loans</t>
  </si>
  <si>
    <t>Working</t>
  </si>
  <si>
    <t>Own Savings</t>
  </si>
  <si>
    <t>Other people</t>
  </si>
  <si>
    <t>Credit card</t>
  </si>
  <si>
    <t>Military/VA Benefits</t>
  </si>
  <si>
    <t>Not Pell-eligible</t>
  </si>
  <si>
    <t>Money from other people</t>
  </si>
  <si>
    <t>Grants</t>
  </si>
  <si>
    <t>Californi</t>
  </si>
  <si>
    <t>Universit</t>
  </si>
  <si>
    <t>Private f</t>
  </si>
  <si>
    <t>Vocationa</t>
  </si>
  <si>
    <t>College o</t>
  </si>
  <si>
    <t>Private 4yr</t>
  </si>
  <si>
    <t>Out of State</t>
  </si>
  <si>
    <t>categories</t>
  </si>
  <si>
    <t>Black/African America</t>
  </si>
  <si>
    <t>American Indian/Alask</t>
  </si>
  <si>
    <t>Asian</t>
  </si>
  <si>
    <t>Filipino</t>
  </si>
  <si>
    <t>Hispanic/Latinx</t>
  </si>
  <si>
    <t>Pacific Islander</t>
  </si>
  <si>
    <t>White/Non-Hispanic</t>
  </si>
  <si>
    <t>Two or more</t>
  </si>
  <si>
    <t>.</t>
  </si>
  <si>
    <t>White</t>
  </si>
  <si>
    <t>Black</t>
  </si>
  <si>
    <t>race_income</t>
  </si>
  <si>
    <t>Zero-Black</t>
  </si>
  <si>
    <t>Zero-Asian</t>
  </si>
  <si>
    <t>Zero-Hisp</t>
  </si>
  <si>
    <t>Zero-White</t>
  </si>
  <si>
    <t>Pell-Black</t>
  </si>
  <si>
    <t>Pell-Asian</t>
  </si>
  <si>
    <t>Pell-Hisp</t>
  </si>
  <si>
    <t>Pell-White</t>
  </si>
  <si>
    <t>NoPell-Black</t>
  </si>
  <si>
    <t>NoPell-Asian</t>
  </si>
  <si>
    <t>NoPell-Hisp</t>
  </si>
  <si>
    <t>NoPell-White</t>
  </si>
  <si>
    <t>race/ethnicity reduced to 9 categories</t>
  </si>
  <si>
    <t>Black/African American</t>
  </si>
  <si>
    <t>American Indian/Alaskan Native</t>
  </si>
  <si>
    <t xml:space="preserve">Asian </t>
  </si>
  <si>
    <t>Latinx</t>
  </si>
  <si>
    <t xml:space="preserve">Figure 5. College Contact for Financial Aid by Segment </t>
  </si>
  <si>
    <t>Other People</t>
  </si>
  <si>
    <t>Note Pell-Eligible</t>
  </si>
  <si>
    <t>Total Non-Missing</t>
  </si>
  <si>
    <t>Teacher</t>
  </si>
  <si>
    <t>has your college</t>
  </si>
  <si>
    <t>where do you plan to</t>
  </si>
  <si>
    <t>contacted</t>
  </si>
  <si>
    <t>you</t>
  </si>
  <si>
    <t>about</t>
  </si>
  <si>
    <t>attend college this</t>
  </si>
  <si>
    <t>fin</t>
  </si>
  <si>
    <t>aid</t>
  </si>
  <si>
    <t>Contact</t>
  </si>
  <si>
    <t>Figure 2. Sources of Information about Financial Aid</t>
  </si>
  <si>
    <t>Figure 1. High School Requirement by Financial Need</t>
  </si>
  <si>
    <t>Figure 3. Sources of Support in Submitting FAFSA/CADAA</t>
  </si>
  <si>
    <t>Figure 3b. FAFSA/CADAA Support by EFC</t>
  </si>
  <si>
    <t>Figure 3c. FAFSA/CADAA supports by Race and EFC</t>
  </si>
  <si>
    <t>Figure 4. Planned College Segment by EFC</t>
  </si>
  <si>
    <t>Figure 4b. Planned College Segment by Race x EFC</t>
  </si>
  <si>
    <t>Figure 6. Methods for Paying for College</t>
  </si>
  <si>
    <t>Credit Cards</t>
  </si>
  <si>
    <t>Own savings</t>
  </si>
  <si>
    <t>Credit cards</t>
  </si>
  <si>
    <t xml:space="preserve">Military </t>
  </si>
  <si>
    <t xml:space="preserve">Latinx </t>
  </si>
  <si>
    <t>Pell</t>
  </si>
  <si>
    <t>Not Pell</t>
  </si>
  <si>
    <t>Very Worried</t>
  </si>
  <si>
    <t>Somewhat Worried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</si>
</sst>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rgb="FFFF0000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Aptos Narrow"/>
      <family val="2"/>
    </font>
    <font>
      <b/>
      <sz val="12"/>
      <color rgb="FF000000"/>
      <name val="Times New Roman"/>
      <family val="1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17" fontId="0" fillId="0" borderId="0" xfId="0" applyNumberFormat="1"/>
    <xf numFmtId="49" fontId="0" fillId="0" borderId="0" xfId="0" applyNumberFormat="1"/>
    <xf numFmtId="9" fontId="0" fillId="0" borderId="0" xfId="0" applyNumberFormat="1"/>
    <xf numFmtId="0" fontId="1" fillId="0" borderId="0" xfId="0" applyFont="1" applyAlignment="1">
      <alignment vertical="center" wrapText="1"/>
    </xf>
    <xf numFmtId="9" fontId="1" fillId="0" borderId="0" xfId="0" applyNumberFormat="1" applyFont="1" applyAlignment="1">
      <alignment vertical="center" wrapText="1"/>
    </xf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8" fontId="0" fillId="0" borderId="0" xfId="0" applyNumberFormat="1"/>
    <xf numFmtId="0" fontId="5" fillId="0" borderId="0" xfId="0" applyFont="1"/>
    <xf numFmtId="8" fontId="5" fillId="0" borderId="0" xfId="0" applyNumberFormat="1" applyFont="1"/>
    <xf numFmtId="0" fontId="6" fillId="0" borderId="0" xfId="0" applyFont="1"/>
    <xf numFmtId="0" fontId="7" fillId="0" borderId="0" xfId="0" applyFont="1"/>
    <xf numFmtId="9" fontId="7" fillId="0" borderId="0" xfId="0" applyNumberFormat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A8C-5247-836F-6F2F671F05F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A8C-5247-836F-6F2F671F05F9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A8C-5247-836F-6F2F671F05F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A8C-5247-836F-6F2F671F05F9}"/>
              </c:ext>
            </c:extLst>
          </c:dPt>
          <c:dLbls>
            <c:dLbl>
              <c:idx val="0"/>
              <c:layout>
                <c:manualLayout>
                  <c:x val="-6.0728744939271256E-3"/>
                  <c:y val="-0.398843966942239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8C-5247-836F-6F2F671F05F9}"/>
                </c:ext>
              </c:extLst>
            </c:dLbl>
            <c:dLbl>
              <c:idx val="1"/>
              <c:layout>
                <c:manualLayout>
                  <c:x val="-7.4223164160116556E-17"/>
                  <c:y val="-0.378034716493078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A8C-5247-836F-6F2F671F05F9}"/>
                </c:ext>
              </c:extLst>
            </c:dLbl>
            <c:dLbl>
              <c:idx val="2"/>
              <c:layout>
                <c:manualLayout>
                  <c:x val="-7.4223164160116556E-17"/>
                  <c:y val="-0.322543381961984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A8C-5247-836F-6F2F671F05F9}"/>
                </c:ext>
              </c:extLst>
            </c:dLbl>
            <c:dLbl>
              <c:idx val="3"/>
              <c:layout>
                <c:manualLayout>
                  <c:x val="0"/>
                  <c:y val="-0.37456650808488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A8C-5247-836F-6F2F671F05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'Figure 1'!$I$20:$L$20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 </c:v>
                </c:pt>
                <c:pt idx="3">
                  <c:v>All Respondents</c:v>
                </c:pt>
              </c:strCache>
            </c:strRef>
          </c:cat>
          <c:val>
            <c:numRef>
              <c:f>'Figure 1'!$I$21:$L$21</c:f>
              <c:numCache>
                <c:formatCode>0%</c:formatCode>
                <c:ptCount val="4"/>
                <c:pt idx="0">
                  <c:v>0.89</c:v>
                </c:pt>
                <c:pt idx="1">
                  <c:v>0.84</c:v>
                </c:pt>
                <c:pt idx="2">
                  <c:v>0.71</c:v>
                </c:pt>
                <c:pt idx="3">
                  <c:v>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C-5247-836F-6F2F671F05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4448304"/>
        <c:axId val="569861984"/>
      </c:barChart>
      <c:catAx>
        <c:axId val="174448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Student Expected Family Contribution (EFC)</a:t>
                </a:r>
              </a:p>
            </c:rich>
          </c:tx>
          <c:layout>
            <c:manualLayout>
              <c:xMode val="edge"/>
              <c:yMode val="edge"/>
              <c:x val="0.36012576110172462"/>
              <c:y val="0.926456504160621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861984"/>
        <c:crosses val="autoZero"/>
        <c:auto val="1"/>
        <c:lblAlgn val="ctr"/>
        <c:lblOffset val="100"/>
        <c:noMultiLvlLbl val="0"/>
      </c:catAx>
      <c:valAx>
        <c:axId val="5698619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</a:t>
                </a:r>
                <a:r>
                  <a:rPr lang="en-US" baseline="0"/>
                  <a:t> Respondents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4830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2'!$A$23:$A$29</c:f>
              <c:strCache>
                <c:ptCount val="7"/>
                <c:pt idx="0">
                  <c:v>HS Staff</c:v>
                </c:pt>
                <c:pt idx="1">
                  <c:v>Word of mouth</c:v>
                </c:pt>
                <c:pt idx="2">
                  <c:v>Financial aid workshop</c:v>
                </c:pt>
                <c:pt idx="3">
                  <c:v>Online website</c:v>
                </c:pt>
                <c:pt idx="4">
                  <c:v>Print media</c:v>
                </c:pt>
                <c:pt idx="5">
                  <c:v>Public service announcement</c:v>
                </c:pt>
                <c:pt idx="6">
                  <c:v>Other</c:v>
                </c:pt>
              </c:strCache>
            </c:strRef>
          </c:cat>
          <c:val>
            <c:numRef>
              <c:f>'Figure 2'!$B$23:$B$29</c:f>
              <c:numCache>
                <c:formatCode>0%</c:formatCode>
                <c:ptCount val="7"/>
                <c:pt idx="0">
                  <c:v>0.83</c:v>
                </c:pt>
                <c:pt idx="1">
                  <c:v>0.28000000000000003</c:v>
                </c:pt>
                <c:pt idx="2">
                  <c:v>0.2</c:v>
                </c:pt>
                <c:pt idx="3">
                  <c:v>0.11</c:v>
                </c:pt>
                <c:pt idx="4">
                  <c:v>7.0000000000000007E-2</c:v>
                </c:pt>
                <c:pt idx="5">
                  <c:v>0.06</c:v>
                </c:pt>
                <c:pt idx="6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D-244D-9BAB-D1E4FDAA4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overlap val="-45"/>
        <c:axId val="835302144"/>
        <c:axId val="853056400"/>
      </c:barChart>
      <c:catAx>
        <c:axId val="835302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Source of Information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056400"/>
        <c:crosses val="autoZero"/>
        <c:auto val="1"/>
        <c:lblAlgn val="ctr"/>
        <c:lblOffset val="100"/>
        <c:noMultiLvlLbl val="0"/>
      </c:catAx>
      <c:valAx>
        <c:axId val="853056400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Respondents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302144"/>
        <c:crosses val="autoZero"/>
        <c:crossBetween val="between"/>
        <c:majorUnit val="0.2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3'!$B$14</c:f>
              <c:strCache>
                <c:ptCount val="1"/>
                <c:pt idx="0">
                  <c:v>Who helped you complete the FAFSA/CADAA?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3'!$A$15:$A$22</c:f>
              <c:strCache>
                <c:ptCount val="8"/>
                <c:pt idx="0">
                  <c:v>Parent</c:v>
                </c:pt>
                <c:pt idx="1">
                  <c:v>HS Counselor</c:v>
                </c:pt>
                <c:pt idx="2">
                  <c:v>HS FAFSA workshop</c:v>
                </c:pt>
                <c:pt idx="3">
                  <c:v>Teacher</c:v>
                </c:pt>
                <c:pt idx="4">
                  <c:v>Family not parent</c:v>
                </c:pt>
                <c:pt idx="5">
                  <c:v>No one</c:v>
                </c:pt>
                <c:pt idx="6">
                  <c:v>Friend</c:v>
                </c:pt>
                <c:pt idx="7">
                  <c:v>FAFSA workshop outside HS</c:v>
                </c:pt>
              </c:strCache>
            </c:strRef>
          </c:cat>
          <c:val>
            <c:numRef>
              <c:f>'Figure 3'!$B$15:$B$22</c:f>
              <c:numCache>
                <c:formatCode>0%</c:formatCode>
                <c:ptCount val="8"/>
                <c:pt idx="0">
                  <c:v>0.49</c:v>
                </c:pt>
                <c:pt idx="1">
                  <c:v>0.45</c:v>
                </c:pt>
                <c:pt idx="2">
                  <c:v>0.3</c:v>
                </c:pt>
                <c:pt idx="3">
                  <c:v>0.22</c:v>
                </c:pt>
                <c:pt idx="4">
                  <c:v>0.14000000000000001</c:v>
                </c:pt>
                <c:pt idx="5">
                  <c:v>0.1</c:v>
                </c:pt>
                <c:pt idx="6">
                  <c:v>0.1</c:v>
                </c:pt>
                <c:pt idx="7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B-5443-98CD-D18629102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overlap val="-27"/>
        <c:axId val="990552784"/>
        <c:axId val="990629664"/>
      </c:barChart>
      <c:catAx>
        <c:axId val="990552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Source of Support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629664"/>
        <c:crosses val="autoZero"/>
        <c:auto val="1"/>
        <c:lblAlgn val="ctr"/>
        <c:lblOffset val="100"/>
        <c:noMultiLvlLbl val="0"/>
      </c:catAx>
      <c:valAx>
        <c:axId val="990629664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Respondents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55278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3b'!$R$11</c:f>
              <c:strCache>
                <c:ptCount val="1"/>
                <c:pt idx="0">
                  <c:v>Zero EFC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3b'!$S$10:$U$10</c:f>
              <c:strCache>
                <c:ptCount val="3"/>
                <c:pt idx="0">
                  <c:v>Parent</c:v>
                </c:pt>
                <c:pt idx="1">
                  <c:v>HS Counselor</c:v>
                </c:pt>
                <c:pt idx="2">
                  <c:v>HS Workshop</c:v>
                </c:pt>
              </c:strCache>
            </c:strRef>
          </c:cat>
          <c:val>
            <c:numRef>
              <c:f>'Figure 3b'!$S$11:$U$11</c:f>
              <c:numCache>
                <c:formatCode>0%</c:formatCode>
                <c:ptCount val="3"/>
                <c:pt idx="0">
                  <c:v>0.28999999999999998</c:v>
                </c:pt>
                <c:pt idx="1">
                  <c:v>0.54</c:v>
                </c:pt>
                <c:pt idx="2">
                  <c:v>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A-3B48-BDB2-9E06339C19BF}"/>
            </c:ext>
          </c:extLst>
        </c:ser>
        <c:ser>
          <c:idx val="1"/>
          <c:order val="1"/>
          <c:tx>
            <c:strRef>
              <c:f>'Figure 3b'!$R$12</c:f>
              <c:strCache>
                <c:ptCount val="1"/>
                <c:pt idx="0">
                  <c:v>Pell-eligible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3b'!$S$10:$U$10</c:f>
              <c:strCache>
                <c:ptCount val="3"/>
                <c:pt idx="0">
                  <c:v>Parent</c:v>
                </c:pt>
                <c:pt idx="1">
                  <c:v>HS Counselor</c:v>
                </c:pt>
                <c:pt idx="2">
                  <c:v>HS Workshop</c:v>
                </c:pt>
              </c:strCache>
            </c:strRef>
          </c:cat>
          <c:val>
            <c:numRef>
              <c:f>'Figure 3b'!$S$12:$U$12</c:f>
              <c:numCache>
                <c:formatCode>0%</c:formatCode>
                <c:ptCount val="3"/>
                <c:pt idx="0">
                  <c:v>0.45</c:v>
                </c:pt>
                <c:pt idx="1">
                  <c:v>0.48</c:v>
                </c:pt>
                <c:pt idx="2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2A-3B48-BDB2-9E06339C19BF}"/>
            </c:ext>
          </c:extLst>
        </c:ser>
        <c:ser>
          <c:idx val="2"/>
          <c:order val="2"/>
          <c:tx>
            <c:strRef>
              <c:f>'Figure 3b'!$R$13</c:f>
              <c:strCache>
                <c:ptCount val="1"/>
                <c:pt idx="0">
                  <c:v>Not Pell-Eligible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3b'!$S$10:$U$10</c:f>
              <c:strCache>
                <c:ptCount val="3"/>
                <c:pt idx="0">
                  <c:v>Parent</c:v>
                </c:pt>
                <c:pt idx="1">
                  <c:v>HS Counselor</c:v>
                </c:pt>
                <c:pt idx="2">
                  <c:v>HS Workshop</c:v>
                </c:pt>
              </c:strCache>
            </c:strRef>
          </c:cat>
          <c:val>
            <c:numRef>
              <c:f>'Figure 3b'!$S$13:$U$13</c:f>
              <c:numCache>
                <c:formatCode>0%</c:formatCode>
                <c:ptCount val="3"/>
                <c:pt idx="0">
                  <c:v>0.71</c:v>
                </c:pt>
                <c:pt idx="1">
                  <c:v>0.34</c:v>
                </c:pt>
                <c:pt idx="2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2A-3B48-BDB2-9E06339C1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7384735"/>
        <c:axId val="2083944399"/>
      </c:barChart>
      <c:catAx>
        <c:axId val="209738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Source of FAFSA/CADAA Support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44399"/>
        <c:crosses val="autoZero"/>
        <c:auto val="1"/>
        <c:lblAlgn val="ctr"/>
        <c:lblOffset val="100"/>
        <c:noMultiLvlLbl val="0"/>
      </c:catAx>
      <c:valAx>
        <c:axId val="2083944399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38473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Zero EFC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3c'!$A$4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3c'!$B$2:$D$3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Zero EFC</c:v>
                  </c:pt>
                </c:lvl>
              </c:multiLvlStrCache>
            </c:multiLvlStrRef>
          </c:cat>
          <c:val>
            <c:numRef>
              <c:f>'Figure 3c'!$B$4:$D$4</c:f>
              <c:numCache>
                <c:formatCode>0%</c:formatCode>
                <c:ptCount val="3"/>
                <c:pt idx="0">
                  <c:v>0.39</c:v>
                </c:pt>
                <c:pt idx="1">
                  <c:v>0.5</c:v>
                </c:pt>
                <c:pt idx="2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E-6A4C-9C7C-BCDAEF50E243}"/>
            </c:ext>
          </c:extLst>
        </c:ser>
        <c:ser>
          <c:idx val="1"/>
          <c:order val="1"/>
          <c:tx>
            <c:strRef>
              <c:f>'Figure 3c'!$A$5</c:f>
              <c:strCache>
                <c:ptCount val="1"/>
                <c:pt idx="0">
                  <c:v>Asian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3c'!$B$2:$D$3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Zero EFC</c:v>
                  </c:pt>
                </c:lvl>
              </c:multiLvlStrCache>
            </c:multiLvlStrRef>
          </c:cat>
          <c:val>
            <c:numRef>
              <c:f>'Figure 3c'!$B$5:$D$5</c:f>
              <c:numCache>
                <c:formatCode>0%</c:formatCode>
                <c:ptCount val="3"/>
                <c:pt idx="0">
                  <c:v>0.38</c:v>
                </c:pt>
                <c:pt idx="1">
                  <c:v>0.43</c:v>
                </c:pt>
                <c:pt idx="2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3E-6A4C-9C7C-BCDAEF50E243}"/>
            </c:ext>
          </c:extLst>
        </c:ser>
        <c:ser>
          <c:idx val="2"/>
          <c:order val="2"/>
          <c:tx>
            <c:strRef>
              <c:f>'Figure 3c'!$A$6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3c'!$B$2:$D$3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Zero EFC</c:v>
                  </c:pt>
                </c:lvl>
              </c:multiLvlStrCache>
            </c:multiLvlStrRef>
          </c:cat>
          <c:val>
            <c:numRef>
              <c:f>'Figure 3c'!$B$6:$D$6</c:f>
              <c:numCache>
                <c:formatCode>0%</c:formatCode>
                <c:ptCount val="3"/>
                <c:pt idx="0">
                  <c:v>0.22</c:v>
                </c:pt>
                <c:pt idx="1">
                  <c:v>0.57999999999999996</c:v>
                </c:pt>
                <c:pt idx="2">
                  <c:v>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3E-6A4C-9C7C-BCDAEF50E243}"/>
            </c:ext>
          </c:extLst>
        </c:ser>
        <c:ser>
          <c:idx val="3"/>
          <c:order val="3"/>
          <c:tx>
            <c:strRef>
              <c:f>'Figure 3c'!$A$7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3c'!$B$2:$D$3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Zero EFC</c:v>
                  </c:pt>
                </c:lvl>
              </c:multiLvlStrCache>
            </c:multiLvlStrRef>
          </c:cat>
          <c:val>
            <c:numRef>
              <c:f>'Figure 3c'!$B$7:$D$7</c:f>
              <c:numCache>
                <c:formatCode>0%</c:formatCode>
                <c:ptCount val="3"/>
                <c:pt idx="0">
                  <c:v>0.47</c:v>
                </c:pt>
                <c:pt idx="1">
                  <c:v>0.42</c:v>
                </c:pt>
                <c:pt idx="2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3E-6A4C-9C7C-BCDAEF50E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691648"/>
        <c:axId val="884849776"/>
      </c:barChart>
      <c:catAx>
        <c:axId val="884691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Source of FAFSA/CADAA Support by Race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849776"/>
        <c:crosses val="autoZero"/>
        <c:auto val="1"/>
        <c:lblAlgn val="ctr"/>
        <c:lblOffset val="100"/>
        <c:noMultiLvlLbl val="0"/>
      </c:catAx>
      <c:valAx>
        <c:axId val="884849776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69164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3c'!$F$4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3c'!$G$2:$I$3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Pell-eligible</c:v>
                  </c:pt>
                </c:lvl>
              </c:multiLvlStrCache>
            </c:multiLvlStrRef>
          </c:cat>
          <c:val>
            <c:numRef>
              <c:f>'Figure 3c'!$G$4:$I$4</c:f>
              <c:numCache>
                <c:formatCode>0%</c:formatCode>
                <c:ptCount val="3"/>
                <c:pt idx="0">
                  <c:v>0.56999999999999995</c:v>
                </c:pt>
                <c:pt idx="1">
                  <c:v>0.62</c:v>
                </c:pt>
                <c:pt idx="2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7-B34B-984D-733FE2AB1D13}"/>
            </c:ext>
          </c:extLst>
        </c:ser>
        <c:ser>
          <c:idx val="1"/>
          <c:order val="1"/>
          <c:tx>
            <c:strRef>
              <c:f>'Figure 3c'!$F$5</c:f>
              <c:strCache>
                <c:ptCount val="1"/>
                <c:pt idx="0">
                  <c:v>Asian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3c'!$G$2:$I$3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Pell-eligible</c:v>
                  </c:pt>
                </c:lvl>
              </c:multiLvlStrCache>
            </c:multiLvlStrRef>
          </c:cat>
          <c:val>
            <c:numRef>
              <c:f>'Figure 3c'!$G$5:$I$5</c:f>
              <c:numCache>
                <c:formatCode>0%</c:formatCode>
                <c:ptCount val="3"/>
                <c:pt idx="0">
                  <c:v>0.47</c:v>
                </c:pt>
                <c:pt idx="1">
                  <c:v>0.37</c:v>
                </c:pt>
                <c:pt idx="2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37-B34B-984D-733FE2AB1D13}"/>
            </c:ext>
          </c:extLst>
        </c:ser>
        <c:ser>
          <c:idx val="2"/>
          <c:order val="2"/>
          <c:tx>
            <c:strRef>
              <c:f>'Figure 3c'!$F$6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3c'!$G$2:$I$3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Pell-eligible</c:v>
                  </c:pt>
                </c:lvl>
              </c:multiLvlStrCache>
            </c:multiLvlStrRef>
          </c:cat>
          <c:val>
            <c:numRef>
              <c:f>'Figure 3c'!$G$6:$I$6</c:f>
              <c:numCache>
                <c:formatCode>0%</c:formatCode>
                <c:ptCount val="3"/>
                <c:pt idx="0">
                  <c:v>0.34</c:v>
                </c:pt>
                <c:pt idx="1">
                  <c:v>0.54</c:v>
                </c:pt>
                <c:pt idx="2">
                  <c:v>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37-B34B-984D-733FE2AB1D13}"/>
            </c:ext>
          </c:extLst>
        </c:ser>
        <c:ser>
          <c:idx val="3"/>
          <c:order val="3"/>
          <c:tx>
            <c:strRef>
              <c:f>'Figure 3c'!$F$7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3c'!$G$2:$I$3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Pell-eligible</c:v>
                  </c:pt>
                </c:lvl>
              </c:multiLvlStrCache>
            </c:multiLvlStrRef>
          </c:cat>
          <c:val>
            <c:numRef>
              <c:f>'Figure 3c'!$G$7:$I$7</c:f>
              <c:numCache>
                <c:formatCode>0%</c:formatCode>
                <c:ptCount val="3"/>
                <c:pt idx="0">
                  <c:v>0.65</c:v>
                </c:pt>
                <c:pt idx="1">
                  <c:v>0.41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37-B34B-984D-733FE2AB1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269184"/>
        <c:axId val="910587664"/>
      </c:barChart>
      <c:catAx>
        <c:axId val="113226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587664"/>
        <c:crosses val="autoZero"/>
        <c:auto val="1"/>
        <c:lblAlgn val="ctr"/>
        <c:lblOffset val="100"/>
        <c:noMultiLvlLbl val="0"/>
      </c:catAx>
      <c:valAx>
        <c:axId val="910587664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26918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 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3c'!$K$4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3c'!$L$2:$N$3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Not Pell-eligible</c:v>
                  </c:pt>
                </c:lvl>
              </c:multiLvlStrCache>
            </c:multiLvlStrRef>
          </c:cat>
          <c:val>
            <c:numRef>
              <c:f>'Figure 3c'!$L$4:$N$4</c:f>
              <c:numCache>
                <c:formatCode>0%</c:formatCode>
                <c:ptCount val="3"/>
                <c:pt idx="0">
                  <c:v>0.69</c:v>
                </c:pt>
                <c:pt idx="1">
                  <c:v>0.28000000000000003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D-A74C-96D6-4139767B1AF0}"/>
            </c:ext>
          </c:extLst>
        </c:ser>
        <c:ser>
          <c:idx val="1"/>
          <c:order val="1"/>
          <c:tx>
            <c:strRef>
              <c:f>'Figure 3c'!$K$5</c:f>
              <c:strCache>
                <c:ptCount val="1"/>
                <c:pt idx="0">
                  <c:v>Asian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3c'!$L$2:$N$3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Not Pell-eligible</c:v>
                  </c:pt>
                </c:lvl>
              </c:multiLvlStrCache>
            </c:multiLvlStrRef>
          </c:cat>
          <c:val>
            <c:numRef>
              <c:f>'Figure 3c'!$L$5:$N$5</c:f>
              <c:numCache>
                <c:formatCode>0%</c:formatCode>
                <c:ptCount val="3"/>
                <c:pt idx="0">
                  <c:v>0.72</c:v>
                </c:pt>
                <c:pt idx="1">
                  <c:v>0.32</c:v>
                </c:pt>
                <c:pt idx="2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6D-A74C-96D6-4139767B1AF0}"/>
            </c:ext>
          </c:extLst>
        </c:ser>
        <c:ser>
          <c:idx val="2"/>
          <c:order val="2"/>
          <c:tx>
            <c:strRef>
              <c:f>'Figure 3c'!$K$6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3c'!$L$2:$N$3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Not Pell-eligible</c:v>
                  </c:pt>
                </c:lvl>
              </c:multiLvlStrCache>
            </c:multiLvlStrRef>
          </c:cat>
          <c:val>
            <c:numRef>
              <c:f>'Figure 3c'!$L$6:$N$6</c:f>
              <c:numCache>
                <c:formatCode>0%</c:formatCode>
                <c:ptCount val="3"/>
                <c:pt idx="0">
                  <c:v>0.51</c:v>
                </c:pt>
                <c:pt idx="1">
                  <c:v>0.41</c:v>
                </c:pt>
                <c:pt idx="2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6D-A74C-96D6-4139767B1AF0}"/>
            </c:ext>
          </c:extLst>
        </c:ser>
        <c:ser>
          <c:idx val="3"/>
          <c:order val="3"/>
          <c:tx>
            <c:strRef>
              <c:f>'Figure 3c'!$K$7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3c'!$L$2:$N$3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Not Pell-eligible</c:v>
                  </c:pt>
                </c:lvl>
              </c:multiLvlStrCache>
            </c:multiLvlStrRef>
          </c:cat>
          <c:val>
            <c:numRef>
              <c:f>'Figure 3c'!$L$7:$N$7</c:f>
              <c:numCache>
                <c:formatCode>0%</c:formatCode>
                <c:ptCount val="3"/>
                <c:pt idx="0">
                  <c:v>0.83</c:v>
                </c:pt>
                <c:pt idx="1">
                  <c:v>0.31</c:v>
                </c:pt>
                <c:pt idx="2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6D-A74C-96D6-4139767B1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5932624"/>
        <c:axId val="1415658272"/>
      </c:barChart>
      <c:catAx>
        <c:axId val="98593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658272"/>
        <c:crosses val="autoZero"/>
        <c:auto val="1"/>
        <c:lblAlgn val="ctr"/>
        <c:lblOffset val="100"/>
        <c:noMultiLvlLbl val="0"/>
      </c:catAx>
      <c:valAx>
        <c:axId val="1415658272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93262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4'!$L$8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4'!$K$9:$K$12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  <c:pt idx="3">
                  <c:v>Total </c:v>
                </c:pt>
              </c:strCache>
            </c:strRef>
          </c:cat>
          <c:val>
            <c:numRef>
              <c:f>'Figure 4'!$L$9:$L$12</c:f>
              <c:numCache>
                <c:formatCode>0%</c:formatCode>
                <c:ptCount val="4"/>
                <c:pt idx="0">
                  <c:v>0.5</c:v>
                </c:pt>
                <c:pt idx="1">
                  <c:v>0.41</c:v>
                </c:pt>
                <c:pt idx="2">
                  <c:v>0.24</c:v>
                </c:pt>
                <c:pt idx="3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4-0644-A626-6B5B03DA3245}"/>
            </c:ext>
          </c:extLst>
        </c:ser>
        <c:ser>
          <c:idx val="1"/>
          <c:order val="1"/>
          <c:tx>
            <c:strRef>
              <c:f>'Figure 4'!$M$8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4'!$K$9:$K$12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  <c:pt idx="3">
                  <c:v>Total </c:v>
                </c:pt>
              </c:strCache>
            </c:strRef>
          </c:cat>
          <c:val>
            <c:numRef>
              <c:f>'Figure 4'!$M$9:$M$12</c:f>
              <c:numCache>
                <c:formatCode>0%</c:formatCode>
                <c:ptCount val="4"/>
                <c:pt idx="0">
                  <c:v>0.24</c:v>
                </c:pt>
                <c:pt idx="1">
                  <c:v>0.25</c:v>
                </c:pt>
                <c:pt idx="2">
                  <c:v>0.21</c:v>
                </c:pt>
                <c:pt idx="3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44-0644-A626-6B5B03DA3245}"/>
            </c:ext>
          </c:extLst>
        </c:ser>
        <c:ser>
          <c:idx val="2"/>
          <c:order val="2"/>
          <c:tx>
            <c:strRef>
              <c:f>'Figure 4'!$N$8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4'!$K$9:$K$12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  <c:pt idx="3">
                  <c:v>Total </c:v>
                </c:pt>
              </c:strCache>
            </c:strRef>
          </c:cat>
          <c:val>
            <c:numRef>
              <c:f>'Figure 4'!$N$9:$N$12</c:f>
              <c:numCache>
                <c:formatCode>0%</c:formatCode>
                <c:ptCount val="4"/>
                <c:pt idx="0">
                  <c:v>0.16</c:v>
                </c:pt>
                <c:pt idx="1">
                  <c:v>0.21</c:v>
                </c:pt>
                <c:pt idx="2">
                  <c:v>0.28999999999999998</c:v>
                </c:pt>
                <c:pt idx="3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44-0644-A626-6B5B03DA3245}"/>
            </c:ext>
          </c:extLst>
        </c:ser>
        <c:ser>
          <c:idx val="3"/>
          <c:order val="3"/>
          <c:tx>
            <c:strRef>
              <c:f>'Figure 4'!$O$8</c:f>
              <c:strCache>
                <c:ptCount val="1"/>
                <c:pt idx="0">
                  <c:v>Private 4yr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4'!$K$9:$K$12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  <c:pt idx="3">
                  <c:v>Total </c:v>
                </c:pt>
              </c:strCache>
            </c:strRef>
          </c:cat>
          <c:val>
            <c:numRef>
              <c:f>'Figure 4'!$O$9:$O$12</c:f>
              <c:numCache>
                <c:formatCode>0%</c:formatCode>
                <c:ptCount val="4"/>
                <c:pt idx="0">
                  <c:v>0.04</c:v>
                </c:pt>
                <c:pt idx="1">
                  <c:v>0.06</c:v>
                </c:pt>
                <c:pt idx="2">
                  <c:v>0.08</c:v>
                </c:pt>
                <c:pt idx="3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44-0644-A626-6B5B03DA3245}"/>
            </c:ext>
          </c:extLst>
        </c:ser>
        <c:ser>
          <c:idx val="4"/>
          <c:order val="4"/>
          <c:tx>
            <c:strRef>
              <c:f>'Figure 4'!$P$8</c:f>
              <c:strCache>
                <c:ptCount val="1"/>
                <c:pt idx="0">
                  <c:v>Vocational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4'!$K$9:$K$12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  <c:pt idx="3">
                  <c:v>Total </c:v>
                </c:pt>
              </c:strCache>
            </c:strRef>
          </c:cat>
          <c:val>
            <c:numRef>
              <c:f>'Figure 4'!$P$9:$P$12</c:f>
              <c:numCache>
                <c:formatCode>0%</c:formatCode>
                <c:ptCount val="4"/>
                <c:pt idx="0">
                  <c:v>0.04</c:v>
                </c:pt>
                <c:pt idx="1">
                  <c:v>0.02</c:v>
                </c:pt>
                <c:pt idx="2">
                  <c:v>0.01</c:v>
                </c:pt>
                <c:pt idx="3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44-0644-A626-6B5B03DA3245}"/>
            </c:ext>
          </c:extLst>
        </c:ser>
        <c:ser>
          <c:idx val="5"/>
          <c:order val="5"/>
          <c:tx>
            <c:strRef>
              <c:f>'Figure 4'!$Q$8</c:f>
              <c:strCache>
                <c:ptCount val="1"/>
                <c:pt idx="0">
                  <c:v>Out of State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4'!$K$9:$K$12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  <c:pt idx="3">
                  <c:v>Total </c:v>
                </c:pt>
              </c:strCache>
            </c:strRef>
          </c:cat>
          <c:val>
            <c:numRef>
              <c:f>'Figure 4'!$Q$9:$Q$12</c:f>
              <c:numCache>
                <c:formatCode>0%</c:formatCode>
                <c:ptCount val="4"/>
                <c:pt idx="0">
                  <c:v>0.03</c:v>
                </c:pt>
                <c:pt idx="1">
                  <c:v>0.06</c:v>
                </c:pt>
                <c:pt idx="2">
                  <c:v>0.18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44-0644-A626-6B5B03DA3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2601840"/>
        <c:axId val="877552208"/>
      </c:barChart>
      <c:catAx>
        <c:axId val="1322601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Intended College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552208"/>
        <c:crosses val="autoZero"/>
        <c:auto val="1"/>
        <c:lblAlgn val="ctr"/>
        <c:lblOffset val="100"/>
        <c:noMultiLvlLbl val="0"/>
      </c:catAx>
      <c:valAx>
        <c:axId val="877552208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Shareof</a:t>
                </a:r>
                <a:r>
                  <a:rPr lang="en-US" baseline="0"/>
                  <a:t> Respondents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60184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Zero EFC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4b'!$K$3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4b'!$J$4:$J$7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4b'!$K$4:$K$7</c:f>
              <c:numCache>
                <c:formatCode>0%</c:formatCode>
                <c:ptCount val="4"/>
                <c:pt idx="0">
                  <c:v>0.41</c:v>
                </c:pt>
                <c:pt idx="1">
                  <c:v>0.31</c:v>
                </c:pt>
                <c:pt idx="2">
                  <c:v>0.51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3-344A-B16C-3A1A67A9DC29}"/>
            </c:ext>
          </c:extLst>
        </c:ser>
        <c:ser>
          <c:idx val="1"/>
          <c:order val="1"/>
          <c:tx>
            <c:strRef>
              <c:f>'Figure 4b'!$L$3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4b'!$J$4:$J$7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4b'!$L$4:$L$7</c:f>
              <c:numCache>
                <c:formatCode>0%</c:formatCode>
                <c:ptCount val="4"/>
                <c:pt idx="0">
                  <c:v>0.26</c:v>
                </c:pt>
                <c:pt idx="1">
                  <c:v>0.23</c:v>
                </c:pt>
                <c:pt idx="2">
                  <c:v>0.25</c:v>
                </c:pt>
                <c:pt idx="3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F3-344A-B16C-3A1A67A9DC29}"/>
            </c:ext>
          </c:extLst>
        </c:ser>
        <c:ser>
          <c:idx val="2"/>
          <c:order val="2"/>
          <c:tx>
            <c:strRef>
              <c:f>'Figure 4b'!$M$3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4b'!$J$4:$J$7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4b'!$M$4:$M$7</c:f>
              <c:numCache>
                <c:formatCode>0%</c:formatCode>
                <c:ptCount val="4"/>
                <c:pt idx="0">
                  <c:v>0.12</c:v>
                </c:pt>
                <c:pt idx="1">
                  <c:v>0.36</c:v>
                </c:pt>
                <c:pt idx="2">
                  <c:v>0.14000000000000001</c:v>
                </c:pt>
                <c:pt idx="3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F3-344A-B16C-3A1A67A9DC29}"/>
            </c:ext>
          </c:extLst>
        </c:ser>
        <c:ser>
          <c:idx val="3"/>
          <c:order val="3"/>
          <c:tx>
            <c:strRef>
              <c:f>'Figure 4b'!$N$3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4b'!$J$4:$J$7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4b'!$N$4:$N$7</c:f>
              <c:numCache>
                <c:formatCode>0%</c:formatCode>
                <c:ptCount val="4"/>
                <c:pt idx="0">
                  <c:v>0.21</c:v>
                </c:pt>
                <c:pt idx="1">
                  <c:v>0.1</c:v>
                </c:pt>
                <c:pt idx="2">
                  <c:v>0.1</c:v>
                </c:pt>
                <c:pt idx="3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F3-344A-B16C-3A1A67A9D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4634048"/>
        <c:axId val="884688512"/>
      </c:barChart>
      <c:catAx>
        <c:axId val="884634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Intended</a:t>
                </a:r>
                <a:r>
                  <a:rPr lang="en-US" baseline="0"/>
                  <a:t> College Segment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688512"/>
        <c:crosses val="autoZero"/>
        <c:auto val="1"/>
        <c:lblAlgn val="ctr"/>
        <c:lblOffset val="100"/>
        <c:noMultiLvlLbl val="0"/>
      </c:catAx>
      <c:valAx>
        <c:axId val="884688512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63404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4b'!$K$11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4b'!$J$12:$J$15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4b'!$K$12:$K$15</c:f>
              <c:numCache>
                <c:formatCode>0%</c:formatCode>
                <c:ptCount val="4"/>
                <c:pt idx="0">
                  <c:v>0.15</c:v>
                </c:pt>
                <c:pt idx="1">
                  <c:v>0.3</c:v>
                </c:pt>
                <c:pt idx="2">
                  <c:v>0.44</c:v>
                </c:pt>
                <c:pt idx="3">
                  <c:v>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5-CB46-91DD-37A914CB2BE9}"/>
            </c:ext>
          </c:extLst>
        </c:ser>
        <c:ser>
          <c:idx val="1"/>
          <c:order val="1"/>
          <c:tx>
            <c:strRef>
              <c:f>'Figure 4b'!$L$11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4b'!$J$12:$J$15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4b'!$L$12:$L$15</c:f>
              <c:numCache>
                <c:formatCode>0%</c:formatCode>
                <c:ptCount val="4"/>
                <c:pt idx="0">
                  <c:v>0.42</c:v>
                </c:pt>
                <c:pt idx="1">
                  <c:v>0.16</c:v>
                </c:pt>
                <c:pt idx="2">
                  <c:v>0.27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E5-CB46-91DD-37A914CB2BE9}"/>
            </c:ext>
          </c:extLst>
        </c:ser>
        <c:ser>
          <c:idx val="2"/>
          <c:order val="2"/>
          <c:tx>
            <c:strRef>
              <c:f>'Figure 4b'!$M$11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4b'!$J$12:$J$15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4b'!$M$12:$M$15</c:f>
              <c:numCache>
                <c:formatCode>0%</c:formatCode>
                <c:ptCount val="4"/>
                <c:pt idx="0">
                  <c:v>0.18</c:v>
                </c:pt>
                <c:pt idx="1">
                  <c:v>0.44</c:v>
                </c:pt>
                <c:pt idx="2">
                  <c:v>0.18</c:v>
                </c:pt>
                <c:pt idx="3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E5-CB46-91DD-37A914CB2BE9}"/>
            </c:ext>
          </c:extLst>
        </c:ser>
        <c:ser>
          <c:idx val="3"/>
          <c:order val="3"/>
          <c:tx>
            <c:strRef>
              <c:f>'Figure 4b'!$N$11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4b'!$J$12:$J$15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4b'!$N$12:$N$15</c:f>
              <c:numCache>
                <c:formatCode>0%</c:formatCode>
                <c:ptCount val="4"/>
                <c:pt idx="0">
                  <c:v>0.25</c:v>
                </c:pt>
                <c:pt idx="1">
                  <c:v>0.1</c:v>
                </c:pt>
                <c:pt idx="2">
                  <c:v>0.11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E5-CB46-91DD-37A914CB2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6883696"/>
        <c:axId val="1416943712"/>
      </c:barChart>
      <c:catAx>
        <c:axId val="141688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943712"/>
        <c:crosses val="autoZero"/>
        <c:auto val="1"/>
        <c:lblAlgn val="ctr"/>
        <c:lblOffset val="100"/>
        <c:noMultiLvlLbl val="0"/>
      </c:catAx>
      <c:valAx>
        <c:axId val="1416943712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88369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 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4b'!$K$19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4b'!$J$20:$J$23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4b'!$K$20:$K$23</c:f>
              <c:numCache>
                <c:formatCode>0%</c:formatCode>
                <c:ptCount val="4"/>
                <c:pt idx="0">
                  <c:v>0.14000000000000001</c:v>
                </c:pt>
                <c:pt idx="1">
                  <c:v>0.12</c:v>
                </c:pt>
                <c:pt idx="2">
                  <c:v>0.4</c:v>
                </c:pt>
                <c:pt idx="3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73-FD4C-94BA-09134B8FFF3D}"/>
            </c:ext>
          </c:extLst>
        </c:ser>
        <c:ser>
          <c:idx val="1"/>
          <c:order val="1"/>
          <c:tx>
            <c:strRef>
              <c:f>'Figure 4b'!$L$19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4b'!$J$20:$J$23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4b'!$L$20:$L$23</c:f>
              <c:numCache>
                <c:formatCode>0%</c:formatCode>
                <c:ptCount val="4"/>
                <c:pt idx="0">
                  <c:v>0.26</c:v>
                </c:pt>
                <c:pt idx="1">
                  <c:v>0.15</c:v>
                </c:pt>
                <c:pt idx="2">
                  <c:v>0.28000000000000003</c:v>
                </c:pt>
                <c:pt idx="3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3-FD4C-94BA-09134B8FFF3D}"/>
            </c:ext>
          </c:extLst>
        </c:ser>
        <c:ser>
          <c:idx val="2"/>
          <c:order val="2"/>
          <c:tx>
            <c:strRef>
              <c:f>'Figure 4b'!$M$19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4b'!$J$20:$J$23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4b'!$M$20:$M$23</c:f>
              <c:numCache>
                <c:formatCode>0%</c:formatCode>
                <c:ptCount val="4"/>
                <c:pt idx="0">
                  <c:v>0.37</c:v>
                </c:pt>
                <c:pt idx="1">
                  <c:v>0.5</c:v>
                </c:pt>
                <c:pt idx="2">
                  <c:v>0.16</c:v>
                </c:pt>
                <c:pt idx="3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73-FD4C-94BA-09134B8FFF3D}"/>
            </c:ext>
          </c:extLst>
        </c:ser>
        <c:ser>
          <c:idx val="3"/>
          <c:order val="3"/>
          <c:tx>
            <c:strRef>
              <c:f>'Figure 4b'!$N$19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4b'!$J$20:$J$23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4b'!$N$20:$N$23</c:f>
              <c:numCache>
                <c:formatCode>0%</c:formatCode>
                <c:ptCount val="4"/>
                <c:pt idx="0">
                  <c:v>0.23</c:v>
                </c:pt>
                <c:pt idx="1">
                  <c:v>0.23</c:v>
                </c:pt>
                <c:pt idx="2">
                  <c:v>0.16</c:v>
                </c:pt>
                <c:pt idx="3">
                  <c:v>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73-FD4C-94BA-09134B8FF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8383984"/>
        <c:axId val="1331448432"/>
      </c:barChart>
      <c:catAx>
        <c:axId val="118838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48432"/>
        <c:crosses val="autoZero"/>
        <c:auto val="1"/>
        <c:lblAlgn val="ctr"/>
        <c:lblOffset val="100"/>
        <c:noMultiLvlLbl val="0"/>
      </c:catAx>
      <c:valAx>
        <c:axId val="1331448432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38398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5'!$H$8</c:f>
              <c:strCache>
                <c:ptCount val="1"/>
                <c:pt idx="0">
                  <c:v>Contact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D34-854C-98C8-7C46361533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5'!$G$9:$G$12</c:f>
              <c:strCache>
                <c:ptCount val="4"/>
                <c:pt idx="0">
                  <c:v>UC</c:v>
                </c:pt>
                <c:pt idx="1">
                  <c:v>CSU</c:v>
                </c:pt>
                <c:pt idx="2">
                  <c:v>CCC</c:v>
                </c:pt>
                <c:pt idx="3">
                  <c:v>Total </c:v>
                </c:pt>
              </c:strCache>
            </c:strRef>
          </c:cat>
          <c:val>
            <c:numRef>
              <c:f>'Figure 5'!$H$9:$H$12</c:f>
              <c:numCache>
                <c:formatCode>0%</c:formatCode>
                <c:ptCount val="4"/>
                <c:pt idx="0">
                  <c:v>0.89</c:v>
                </c:pt>
                <c:pt idx="1">
                  <c:v>0.81</c:v>
                </c:pt>
                <c:pt idx="2">
                  <c:v>0.56000000000000005</c:v>
                </c:pt>
                <c:pt idx="3">
                  <c:v>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34-854C-98C8-7C4636153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3532223"/>
        <c:axId val="1653241487"/>
      </c:barChart>
      <c:catAx>
        <c:axId val="1653532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Student Contact by 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241487"/>
        <c:crosses val="autoZero"/>
        <c:auto val="1"/>
        <c:lblAlgn val="ctr"/>
        <c:lblOffset val="100"/>
        <c:noMultiLvlLbl val="0"/>
      </c:catAx>
      <c:valAx>
        <c:axId val="16532414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</a:t>
                </a:r>
                <a:r>
                  <a:rPr lang="en-US" baseline="0"/>
                  <a:t> of Respondents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53222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6'!$B$6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6'!$A$7:$A$14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Money from 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</c:v>
                </c:pt>
                <c:pt idx="7">
                  <c:v>Military/VA Benefits</c:v>
                </c:pt>
              </c:strCache>
            </c:strRef>
          </c:cat>
          <c:val>
            <c:numRef>
              <c:f>'Figure 6'!$B$7:$B$14</c:f>
              <c:numCache>
                <c:formatCode>0%</c:formatCode>
                <c:ptCount val="8"/>
                <c:pt idx="0">
                  <c:v>0.53</c:v>
                </c:pt>
                <c:pt idx="1">
                  <c:v>0.51</c:v>
                </c:pt>
                <c:pt idx="2">
                  <c:v>0.5</c:v>
                </c:pt>
                <c:pt idx="3">
                  <c:v>0.44</c:v>
                </c:pt>
                <c:pt idx="4">
                  <c:v>0.35</c:v>
                </c:pt>
                <c:pt idx="5">
                  <c:v>0.33</c:v>
                </c:pt>
                <c:pt idx="6">
                  <c:v>0.04</c:v>
                </c:pt>
                <c:pt idx="7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134F-A1E4-01EE8C2F5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9918143"/>
        <c:axId val="1599380783"/>
      </c:barChart>
      <c:catAx>
        <c:axId val="1569918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Methods to</a:t>
                </a:r>
                <a:r>
                  <a:rPr lang="en-US" baseline="0"/>
                  <a:t> Pay for College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80783"/>
        <c:crosses val="autoZero"/>
        <c:auto val="1"/>
        <c:lblAlgn val="ctr"/>
        <c:lblOffset val="100"/>
        <c:noMultiLvlLbl val="0"/>
      </c:catAx>
      <c:valAx>
        <c:axId val="1599380783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91814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7A'!$A$17</c:f>
              <c:strCache>
                <c:ptCount val="1"/>
                <c:pt idx="0">
                  <c:v>Zero EFC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7A'!$B$16:$D$16</c:f>
              <c:strCache>
                <c:ptCount val="3"/>
                <c:pt idx="0">
                  <c:v>Grants </c:v>
                </c:pt>
                <c:pt idx="1">
                  <c:v>Other people</c:v>
                </c:pt>
                <c:pt idx="2">
                  <c:v>Loans</c:v>
                </c:pt>
              </c:strCache>
            </c:strRef>
          </c:cat>
          <c:val>
            <c:numRef>
              <c:f>'Figure 7A'!$B$17:$D$17</c:f>
              <c:numCache>
                <c:formatCode>0%</c:formatCode>
                <c:ptCount val="3"/>
                <c:pt idx="0">
                  <c:v>0.68</c:v>
                </c:pt>
                <c:pt idx="1">
                  <c:v>0.22</c:v>
                </c:pt>
                <c:pt idx="2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F3-834F-B1B6-D0ACD24880F1}"/>
            </c:ext>
          </c:extLst>
        </c:ser>
        <c:ser>
          <c:idx val="1"/>
          <c:order val="1"/>
          <c:tx>
            <c:strRef>
              <c:f>'Figure 7A'!$A$18</c:f>
              <c:strCache>
                <c:ptCount val="1"/>
                <c:pt idx="0">
                  <c:v>Pell-eligible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7A'!$B$16:$D$16</c:f>
              <c:strCache>
                <c:ptCount val="3"/>
                <c:pt idx="0">
                  <c:v>Grants </c:v>
                </c:pt>
                <c:pt idx="1">
                  <c:v>Other people</c:v>
                </c:pt>
                <c:pt idx="2">
                  <c:v>Loans</c:v>
                </c:pt>
              </c:strCache>
            </c:strRef>
          </c:cat>
          <c:val>
            <c:numRef>
              <c:f>'Figure 7A'!$B$18:$D$18</c:f>
              <c:numCache>
                <c:formatCode>0%</c:formatCode>
                <c:ptCount val="3"/>
                <c:pt idx="0">
                  <c:v>0.68</c:v>
                </c:pt>
                <c:pt idx="1">
                  <c:v>0.36</c:v>
                </c:pt>
                <c:pt idx="2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F3-834F-B1B6-D0ACD24880F1}"/>
            </c:ext>
          </c:extLst>
        </c:ser>
        <c:ser>
          <c:idx val="2"/>
          <c:order val="2"/>
          <c:tx>
            <c:strRef>
              <c:f>'Figure 7A'!$A$19</c:f>
              <c:strCache>
                <c:ptCount val="1"/>
                <c:pt idx="0">
                  <c:v>Not Pell-eligible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7A'!$B$16:$D$16</c:f>
              <c:strCache>
                <c:ptCount val="3"/>
                <c:pt idx="0">
                  <c:v>Grants </c:v>
                </c:pt>
                <c:pt idx="1">
                  <c:v>Other people</c:v>
                </c:pt>
                <c:pt idx="2">
                  <c:v>Loans</c:v>
                </c:pt>
              </c:strCache>
            </c:strRef>
          </c:cat>
          <c:val>
            <c:numRef>
              <c:f>'Figure 7A'!$B$19:$D$19</c:f>
              <c:numCache>
                <c:formatCode>0%</c:formatCode>
                <c:ptCount val="3"/>
                <c:pt idx="0">
                  <c:v>0.27</c:v>
                </c:pt>
                <c:pt idx="1">
                  <c:v>0.68</c:v>
                </c:pt>
                <c:pt idx="2">
                  <c:v>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F3-834F-B1B6-D0ACD2488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9102208"/>
        <c:axId val="485150080"/>
      </c:barChart>
      <c:catAx>
        <c:axId val="75910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150080"/>
        <c:crosses val="autoZero"/>
        <c:auto val="1"/>
        <c:lblAlgn val="ctr"/>
        <c:lblOffset val="100"/>
        <c:noMultiLvlLbl val="0"/>
      </c:catAx>
      <c:valAx>
        <c:axId val="485150080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10220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7A'!$A$23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7A'!$B$22:$E$22</c:f>
              <c:strCache>
                <c:ptCount val="4"/>
                <c:pt idx="0">
                  <c:v>Grants </c:v>
                </c:pt>
                <c:pt idx="1">
                  <c:v>Scholarships</c:v>
                </c:pt>
                <c:pt idx="2">
                  <c:v>Other people</c:v>
                </c:pt>
                <c:pt idx="3">
                  <c:v>Loans</c:v>
                </c:pt>
              </c:strCache>
            </c:strRef>
          </c:cat>
          <c:val>
            <c:numRef>
              <c:f>'Figure 7A'!$B$23:$E$23</c:f>
              <c:numCache>
                <c:formatCode>0%</c:formatCode>
                <c:ptCount val="4"/>
                <c:pt idx="0">
                  <c:v>0.47</c:v>
                </c:pt>
                <c:pt idx="1">
                  <c:v>0.37</c:v>
                </c:pt>
                <c:pt idx="2">
                  <c:v>0.28000000000000003</c:v>
                </c:pt>
                <c:pt idx="3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9-9340-825F-E54FBB77C9EC}"/>
            </c:ext>
          </c:extLst>
        </c:ser>
        <c:ser>
          <c:idx val="1"/>
          <c:order val="1"/>
          <c:tx>
            <c:strRef>
              <c:f>'Figure 7A'!$A$24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7A'!$B$22:$E$22</c:f>
              <c:strCache>
                <c:ptCount val="4"/>
                <c:pt idx="0">
                  <c:v>Grants </c:v>
                </c:pt>
                <c:pt idx="1">
                  <c:v>Scholarships</c:v>
                </c:pt>
                <c:pt idx="2">
                  <c:v>Other people</c:v>
                </c:pt>
                <c:pt idx="3">
                  <c:v>Loans</c:v>
                </c:pt>
              </c:strCache>
            </c:strRef>
          </c:cat>
          <c:val>
            <c:numRef>
              <c:f>'Figure 7A'!$B$24:$E$24</c:f>
              <c:numCache>
                <c:formatCode>0%</c:formatCode>
                <c:ptCount val="4"/>
                <c:pt idx="0">
                  <c:v>0.6</c:v>
                </c:pt>
                <c:pt idx="1">
                  <c:v>0.5</c:v>
                </c:pt>
                <c:pt idx="2">
                  <c:v>0.43</c:v>
                </c:pt>
                <c:pt idx="3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89-9340-825F-E54FBB77C9EC}"/>
            </c:ext>
          </c:extLst>
        </c:ser>
        <c:ser>
          <c:idx val="2"/>
          <c:order val="2"/>
          <c:tx>
            <c:strRef>
              <c:f>'Figure 7A'!$A$25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7A'!$B$22:$E$22</c:f>
              <c:strCache>
                <c:ptCount val="4"/>
                <c:pt idx="0">
                  <c:v>Grants </c:v>
                </c:pt>
                <c:pt idx="1">
                  <c:v>Scholarships</c:v>
                </c:pt>
                <c:pt idx="2">
                  <c:v>Other people</c:v>
                </c:pt>
                <c:pt idx="3">
                  <c:v>Loans</c:v>
                </c:pt>
              </c:strCache>
            </c:strRef>
          </c:cat>
          <c:val>
            <c:numRef>
              <c:f>'Figure 7A'!$B$25:$E$25</c:f>
              <c:numCache>
                <c:formatCode>0%</c:formatCode>
                <c:ptCount val="4"/>
                <c:pt idx="0">
                  <c:v>0.57999999999999996</c:v>
                </c:pt>
                <c:pt idx="1">
                  <c:v>0.62</c:v>
                </c:pt>
                <c:pt idx="2">
                  <c:v>0.57999999999999996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89-9340-825F-E54FBB77C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696592"/>
        <c:axId val="480890256"/>
      </c:barChart>
      <c:catAx>
        <c:axId val="21169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890256"/>
        <c:crosses val="autoZero"/>
        <c:auto val="1"/>
        <c:lblAlgn val="ctr"/>
        <c:lblOffset val="100"/>
        <c:noMultiLvlLbl val="0"/>
      </c:catAx>
      <c:valAx>
        <c:axId val="480890256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9659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Zero EFC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7b'!$A$3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7b'!$B$2:$D$2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7b'!$B$3:$D$3</c:f>
              <c:numCache>
                <c:formatCode>0%</c:formatCode>
                <c:ptCount val="3"/>
                <c:pt idx="0">
                  <c:v>0.26</c:v>
                </c:pt>
                <c:pt idx="1">
                  <c:v>0.17</c:v>
                </c:pt>
                <c:pt idx="2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D-764E-8741-A0317104DD7E}"/>
            </c:ext>
          </c:extLst>
        </c:ser>
        <c:ser>
          <c:idx val="1"/>
          <c:order val="1"/>
          <c:tx>
            <c:strRef>
              <c:f>'Figure 7b'!$A$4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7b'!$B$2:$D$2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7b'!$B$4:$D$4</c:f>
              <c:numCache>
                <c:formatCode>0%</c:formatCode>
                <c:ptCount val="3"/>
                <c:pt idx="0">
                  <c:v>0.38</c:v>
                </c:pt>
                <c:pt idx="1">
                  <c:v>0.33</c:v>
                </c:pt>
                <c:pt idx="2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0D-764E-8741-A0317104DD7E}"/>
            </c:ext>
          </c:extLst>
        </c:ser>
        <c:ser>
          <c:idx val="2"/>
          <c:order val="2"/>
          <c:tx>
            <c:strRef>
              <c:f>'Figure 7b'!$A$5</c:f>
              <c:strCache>
                <c:ptCount val="1"/>
                <c:pt idx="0">
                  <c:v>Latinx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7b'!$B$2:$D$2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7b'!$B$5:$D$5</c:f>
              <c:numCache>
                <c:formatCode>0%</c:formatCode>
                <c:ptCount val="3"/>
                <c:pt idx="0">
                  <c:v>0.19</c:v>
                </c:pt>
                <c:pt idx="1">
                  <c:v>0.32</c:v>
                </c:pt>
                <c:pt idx="2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0D-764E-8741-A0317104DD7E}"/>
            </c:ext>
          </c:extLst>
        </c:ser>
        <c:ser>
          <c:idx val="3"/>
          <c:order val="3"/>
          <c:tx>
            <c:strRef>
              <c:f>'Figure 7b'!$A$6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7b'!$B$2:$D$2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7b'!$B$6:$D$6</c:f>
              <c:numCache>
                <c:formatCode>0%</c:formatCode>
                <c:ptCount val="3"/>
                <c:pt idx="0">
                  <c:v>0.25</c:v>
                </c:pt>
                <c:pt idx="1">
                  <c:v>0.32</c:v>
                </c:pt>
                <c:pt idx="2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0D-764E-8741-A0317104D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5946656"/>
        <c:axId val="484905424"/>
      </c:barChart>
      <c:catAx>
        <c:axId val="23594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905424"/>
        <c:crosses val="autoZero"/>
        <c:auto val="1"/>
        <c:lblAlgn val="ctr"/>
        <c:lblOffset val="100"/>
        <c:noMultiLvlLbl val="0"/>
      </c:catAx>
      <c:valAx>
        <c:axId val="484905424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94665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7b'!$A$10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7b'!$B$9:$D$9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7b'!$B$10:$D$10</c:f>
              <c:numCache>
                <c:formatCode>0%</c:formatCode>
                <c:ptCount val="3"/>
                <c:pt idx="0">
                  <c:v>0.43</c:v>
                </c:pt>
                <c:pt idx="1">
                  <c:v>0.22</c:v>
                </c:pt>
                <c:pt idx="2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7-6B4F-A82B-6F448B89CD4E}"/>
            </c:ext>
          </c:extLst>
        </c:ser>
        <c:ser>
          <c:idx val="1"/>
          <c:order val="1"/>
          <c:tx>
            <c:strRef>
              <c:f>'Figure 7b'!$A$11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7b'!$B$9:$D$9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7b'!$B$11:$D$11</c:f>
              <c:numCache>
                <c:formatCode>0%</c:formatCode>
                <c:ptCount val="3"/>
                <c:pt idx="0">
                  <c:v>0.55000000000000004</c:v>
                </c:pt>
                <c:pt idx="1">
                  <c:v>0.41</c:v>
                </c:pt>
                <c:pt idx="2">
                  <c:v>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F7-6B4F-A82B-6F448B89CD4E}"/>
            </c:ext>
          </c:extLst>
        </c:ser>
        <c:ser>
          <c:idx val="2"/>
          <c:order val="2"/>
          <c:tx>
            <c:strRef>
              <c:f>'Figure 7b'!$A$12</c:f>
              <c:strCache>
                <c:ptCount val="1"/>
                <c:pt idx="0">
                  <c:v>Latinx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7b'!$B$9:$D$9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7b'!$B$12:$D$12</c:f>
              <c:numCache>
                <c:formatCode>0%</c:formatCode>
                <c:ptCount val="3"/>
                <c:pt idx="0">
                  <c:v>0.32</c:v>
                </c:pt>
                <c:pt idx="1">
                  <c:v>0.35</c:v>
                </c:pt>
                <c:pt idx="2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F7-6B4F-A82B-6F448B89CD4E}"/>
            </c:ext>
          </c:extLst>
        </c:ser>
        <c:ser>
          <c:idx val="3"/>
          <c:order val="3"/>
          <c:tx>
            <c:strRef>
              <c:f>'Figure 7b'!$A$13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7b'!$B$9:$D$9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7b'!$B$13:$D$13</c:f>
              <c:numCache>
                <c:formatCode>0%</c:formatCode>
                <c:ptCount val="3"/>
                <c:pt idx="0">
                  <c:v>0.42</c:v>
                </c:pt>
                <c:pt idx="1">
                  <c:v>0.43</c:v>
                </c:pt>
                <c:pt idx="2">
                  <c:v>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F7-6B4F-A82B-6F448B89C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4130976"/>
        <c:axId val="212250784"/>
      </c:barChart>
      <c:catAx>
        <c:axId val="53413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50784"/>
        <c:crosses val="autoZero"/>
        <c:auto val="1"/>
        <c:lblAlgn val="ctr"/>
        <c:lblOffset val="100"/>
        <c:noMultiLvlLbl val="0"/>
      </c:catAx>
      <c:valAx>
        <c:axId val="212250784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13097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 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7b'!$A$17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7b'!$B$16:$D$16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7b'!$B$17:$D$17</c:f>
              <c:numCache>
                <c:formatCode>0%</c:formatCode>
                <c:ptCount val="3"/>
                <c:pt idx="0">
                  <c:v>0.52</c:v>
                </c:pt>
                <c:pt idx="1">
                  <c:v>0.22</c:v>
                </c:pt>
                <c:pt idx="2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A4-FB46-8C91-083F91CDE8F6}"/>
            </c:ext>
          </c:extLst>
        </c:ser>
        <c:ser>
          <c:idx val="1"/>
          <c:order val="1"/>
          <c:tx>
            <c:strRef>
              <c:f>'Figure 7b'!$A$18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7b'!$B$16:$D$16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7b'!$B$18:$D$18</c:f>
              <c:numCache>
                <c:formatCode>0%</c:formatCode>
                <c:ptCount val="3"/>
                <c:pt idx="0">
                  <c:v>0.81</c:v>
                </c:pt>
                <c:pt idx="1">
                  <c:v>0.36</c:v>
                </c:pt>
                <c:pt idx="2">
                  <c:v>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A4-FB46-8C91-083F91CDE8F6}"/>
            </c:ext>
          </c:extLst>
        </c:ser>
        <c:ser>
          <c:idx val="2"/>
          <c:order val="2"/>
          <c:tx>
            <c:strRef>
              <c:f>'Figure 7b'!$A$19</c:f>
              <c:strCache>
                <c:ptCount val="1"/>
                <c:pt idx="0">
                  <c:v>Latinx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7b'!$B$16:$D$16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7b'!$B$19:$D$19</c:f>
              <c:numCache>
                <c:formatCode>0%</c:formatCode>
                <c:ptCount val="3"/>
                <c:pt idx="0">
                  <c:v>0.5</c:v>
                </c:pt>
                <c:pt idx="1">
                  <c:v>0.4</c:v>
                </c:pt>
                <c:pt idx="2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A4-FB46-8C91-083F91CDE8F6}"/>
            </c:ext>
          </c:extLst>
        </c:ser>
        <c:ser>
          <c:idx val="3"/>
          <c:order val="3"/>
          <c:tx>
            <c:strRef>
              <c:f>'Figure 7b'!$A$20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7b'!$B$16:$D$16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7b'!$B$20:$D$20</c:f>
              <c:numCache>
                <c:formatCode>0%</c:formatCode>
                <c:ptCount val="3"/>
                <c:pt idx="0">
                  <c:v>0.74</c:v>
                </c:pt>
                <c:pt idx="1">
                  <c:v>0.43</c:v>
                </c:pt>
                <c:pt idx="2">
                  <c:v>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A4-FB46-8C91-083F91CDE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6625792"/>
        <c:axId val="892557472"/>
      </c:barChart>
      <c:catAx>
        <c:axId val="27662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557472"/>
        <c:crosses val="autoZero"/>
        <c:auto val="1"/>
        <c:lblAlgn val="ctr"/>
        <c:lblOffset val="100"/>
        <c:noMultiLvlLbl val="0"/>
      </c:catAx>
      <c:valAx>
        <c:axId val="892557472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62579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'Figure 8'!$C$13</c:f>
              <c:strCache>
                <c:ptCount val="1"/>
                <c:pt idx="0">
                  <c:v>Not at all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8'!$D$12:$F$12</c:f>
              <c:strCache>
                <c:ptCount val="3"/>
                <c:pt idx="0">
                  <c:v>Tuition/Fees</c:v>
                </c:pt>
                <c:pt idx="1">
                  <c:v>Living Expenses</c:v>
                </c:pt>
                <c:pt idx="2">
                  <c:v>Balancing Work</c:v>
                </c:pt>
              </c:strCache>
            </c:strRef>
          </c:cat>
          <c:val>
            <c:numRef>
              <c:f>'Figure 8'!$D$13:$F$13</c:f>
              <c:numCache>
                <c:formatCode>0%</c:formatCode>
                <c:ptCount val="3"/>
                <c:pt idx="0">
                  <c:v>0.11</c:v>
                </c:pt>
                <c:pt idx="1">
                  <c:v>0.17</c:v>
                </c:pt>
                <c:pt idx="2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5-D342-B0E1-C0C9D385F7E8}"/>
            </c:ext>
          </c:extLst>
        </c:ser>
        <c:ser>
          <c:idx val="1"/>
          <c:order val="1"/>
          <c:tx>
            <c:strRef>
              <c:f>'Figure 8'!$C$14</c:f>
              <c:strCache>
                <c:ptCount val="1"/>
                <c:pt idx="0">
                  <c:v>Slightly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8'!$D$12:$F$12</c:f>
              <c:strCache>
                <c:ptCount val="3"/>
                <c:pt idx="0">
                  <c:v>Tuition/Fees</c:v>
                </c:pt>
                <c:pt idx="1">
                  <c:v>Living Expenses</c:v>
                </c:pt>
                <c:pt idx="2">
                  <c:v>Balancing Work</c:v>
                </c:pt>
              </c:strCache>
            </c:strRef>
          </c:cat>
          <c:val>
            <c:numRef>
              <c:f>'Figure 8'!$D$14:$F$14</c:f>
              <c:numCache>
                <c:formatCode>0%</c:formatCode>
                <c:ptCount val="3"/>
                <c:pt idx="0">
                  <c:v>0.26</c:v>
                </c:pt>
                <c:pt idx="1">
                  <c:v>0.25</c:v>
                </c:pt>
                <c:pt idx="2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65-D342-B0E1-C0C9D385F7E8}"/>
            </c:ext>
          </c:extLst>
        </c:ser>
        <c:ser>
          <c:idx val="2"/>
          <c:order val="2"/>
          <c:tx>
            <c:strRef>
              <c:f>'Figure 8'!$C$15</c:f>
              <c:strCache>
                <c:ptCount val="1"/>
                <c:pt idx="0">
                  <c:v>Somewhat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8'!$D$12:$F$12</c:f>
              <c:strCache>
                <c:ptCount val="3"/>
                <c:pt idx="0">
                  <c:v>Tuition/Fees</c:v>
                </c:pt>
                <c:pt idx="1">
                  <c:v>Living Expenses</c:v>
                </c:pt>
                <c:pt idx="2">
                  <c:v>Balancing Work</c:v>
                </c:pt>
              </c:strCache>
            </c:strRef>
          </c:cat>
          <c:val>
            <c:numRef>
              <c:f>'Figure 8'!$D$15:$F$15</c:f>
              <c:numCache>
                <c:formatCode>0%</c:formatCode>
                <c:ptCount val="3"/>
                <c:pt idx="0">
                  <c:v>0.32</c:v>
                </c:pt>
                <c:pt idx="1">
                  <c:v>0.3</c:v>
                </c:pt>
                <c:pt idx="2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65-D342-B0E1-C0C9D385F7E8}"/>
            </c:ext>
          </c:extLst>
        </c:ser>
        <c:ser>
          <c:idx val="3"/>
          <c:order val="3"/>
          <c:tx>
            <c:strRef>
              <c:f>'Figure 8'!$C$16</c:f>
              <c:strCache>
                <c:ptCount val="1"/>
                <c:pt idx="0">
                  <c:v>Very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8'!$D$12:$F$12</c:f>
              <c:strCache>
                <c:ptCount val="3"/>
                <c:pt idx="0">
                  <c:v>Tuition/Fees</c:v>
                </c:pt>
                <c:pt idx="1">
                  <c:v>Living Expenses</c:v>
                </c:pt>
                <c:pt idx="2">
                  <c:v>Balancing Work</c:v>
                </c:pt>
              </c:strCache>
            </c:strRef>
          </c:cat>
          <c:val>
            <c:numRef>
              <c:f>'Figure 8'!$D$16:$F$16</c:f>
              <c:numCache>
                <c:formatCode>0%</c:formatCode>
                <c:ptCount val="3"/>
                <c:pt idx="0">
                  <c:v>0.31</c:v>
                </c:pt>
                <c:pt idx="1">
                  <c:v>0.28000000000000003</c:v>
                </c:pt>
                <c:pt idx="2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65-D342-B0E1-C0C9D385F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7679679"/>
        <c:axId val="2078095503"/>
      </c:barChart>
      <c:catAx>
        <c:axId val="2077679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095503"/>
        <c:crosses val="autoZero"/>
        <c:auto val="1"/>
        <c:lblAlgn val="ctr"/>
        <c:lblOffset val="100"/>
        <c:noMultiLvlLbl val="0"/>
      </c:catAx>
      <c:valAx>
        <c:axId val="2078095503"/>
        <c:scaling>
          <c:orientation val="minMax"/>
          <c:max val="1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67967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Tuition/Fees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8b'!$B$31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8b'!$A$32:$A$34</c:f>
              <c:strCache>
                <c:ptCount val="3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</c:strCache>
            </c:strRef>
          </c:cat>
          <c:val>
            <c:numRef>
              <c:f>'Figure 8b'!$B$32:$B$34</c:f>
              <c:numCache>
                <c:formatCode>0%</c:formatCode>
                <c:ptCount val="3"/>
                <c:pt idx="0">
                  <c:v>0.34</c:v>
                </c:pt>
                <c:pt idx="1">
                  <c:v>0.33</c:v>
                </c:pt>
                <c:pt idx="2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9-FC4D-A001-B0B868FFC87A}"/>
            </c:ext>
          </c:extLst>
        </c:ser>
        <c:ser>
          <c:idx val="1"/>
          <c:order val="1"/>
          <c:tx>
            <c:strRef>
              <c:f>'Figure 8b'!$C$31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8b'!$A$32:$A$34</c:f>
              <c:strCache>
                <c:ptCount val="3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</c:strCache>
            </c:strRef>
          </c:cat>
          <c:val>
            <c:numRef>
              <c:f>'Figure 8b'!$C$32:$C$34</c:f>
              <c:numCache>
                <c:formatCode>0%</c:formatCode>
                <c:ptCount val="3"/>
                <c:pt idx="0">
                  <c:v>0.35</c:v>
                </c:pt>
                <c:pt idx="1">
                  <c:v>0.34</c:v>
                </c:pt>
                <c:pt idx="2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69-FC4D-A001-B0B868FFC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2841600"/>
        <c:axId val="1800782400"/>
      </c:barChart>
      <c:catAx>
        <c:axId val="177284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782400"/>
        <c:crosses val="autoZero"/>
        <c:auto val="1"/>
        <c:lblAlgn val="ctr"/>
        <c:lblOffset val="100"/>
        <c:noMultiLvlLbl val="0"/>
      </c:catAx>
      <c:valAx>
        <c:axId val="1800782400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84160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Living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8b'!$F$31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8b'!$E$32:$E$34</c:f>
              <c:strCache>
                <c:ptCount val="3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</c:strCache>
            </c:strRef>
          </c:cat>
          <c:val>
            <c:numRef>
              <c:f>'Figure 8b'!$F$32:$F$34</c:f>
              <c:numCache>
                <c:formatCode>0%</c:formatCode>
                <c:ptCount val="3"/>
                <c:pt idx="0">
                  <c:v>0.3</c:v>
                </c:pt>
                <c:pt idx="1">
                  <c:v>0.3</c:v>
                </c:pt>
                <c:pt idx="2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2A-0F45-83DF-D37EDBFAF525}"/>
            </c:ext>
          </c:extLst>
        </c:ser>
        <c:ser>
          <c:idx val="1"/>
          <c:order val="1"/>
          <c:tx>
            <c:strRef>
              <c:f>'Figure 8b'!$G$31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8b'!$E$32:$E$34</c:f>
              <c:strCache>
                <c:ptCount val="3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</c:strCache>
            </c:strRef>
          </c:cat>
          <c:val>
            <c:numRef>
              <c:f>'Figure 8b'!$G$32:$G$34</c:f>
              <c:numCache>
                <c:formatCode>0%</c:formatCode>
                <c:ptCount val="3"/>
                <c:pt idx="0">
                  <c:v>0.34</c:v>
                </c:pt>
                <c:pt idx="1">
                  <c:v>0.28999999999999998</c:v>
                </c:pt>
                <c:pt idx="2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2A-0F45-83DF-D37EDBFAF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6949776"/>
        <c:axId val="1836857984"/>
      </c:barChart>
      <c:catAx>
        <c:axId val="183694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857984"/>
        <c:crosses val="autoZero"/>
        <c:auto val="1"/>
        <c:lblAlgn val="ctr"/>
        <c:lblOffset val="100"/>
        <c:noMultiLvlLbl val="0"/>
      </c:catAx>
      <c:valAx>
        <c:axId val="1836857984"/>
        <c:scaling>
          <c:orientation val="minMax"/>
          <c:max val="1"/>
        </c:scaling>
        <c:delete val="1"/>
        <c:axPos val="l"/>
        <c:numFmt formatCode="0%" sourceLinked="1"/>
        <c:majorTickMark val="none"/>
        <c:minorTickMark val="none"/>
        <c:tickLblPos val="nextTo"/>
        <c:crossAx val="183694977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Balancing</a:t>
            </a:r>
            <a:r>
              <a:rPr lang="en-US" baseline="0"/>
              <a:t> Work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8b'!$K$31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8b'!$J$32:$J$34</c:f>
              <c:strCache>
                <c:ptCount val="3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</c:strCache>
            </c:strRef>
          </c:cat>
          <c:val>
            <c:numRef>
              <c:f>'Figure 8b'!$K$32:$K$34</c:f>
              <c:numCache>
                <c:formatCode>0%</c:formatCode>
                <c:ptCount val="3"/>
                <c:pt idx="0">
                  <c:v>0.34</c:v>
                </c:pt>
                <c:pt idx="1">
                  <c:v>0.33</c:v>
                </c:pt>
                <c:pt idx="2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D-4D48-842F-F93D10763004}"/>
            </c:ext>
          </c:extLst>
        </c:ser>
        <c:ser>
          <c:idx val="1"/>
          <c:order val="1"/>
          <c:tx>
            <c:strRef>
              <c:f>'Figure 8b'!$L$31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8b'!$J$32:$J$34</c:f>
              <c:strCache>
                <c:ptCount val="3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</c:strCache>
            </c:strRef>
          </c:cat>
          <c:val>
            <c:numRef>
              <c:f>'Figure 8b'!$L$32:$L$34</c:f>
              <c:numCache>
                <c:formatCode>0%</c:formatCode>
                <c:ptCount val="3"/>
                <c:pt idx="0">
                  <c:v>0.21</c:v>
                </c:pt>
                <c:pt idx="1">
                  <c:v>0.21</c:v>
                </c:pt>
                <c:pt idx="2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DD-4D48-842F-F93D10763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1415232"/>
        <c:axId val="1771604768"/>
      </c:barChart>
      <c:catAx>
        <c:axId val="177141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604768"/>
        <c:crosses val="autoZero"/>
        <c:auto val="1"/>
        <c:lblAlgn val="ctr"/>
        <c:lblOffset val="100"/>
        <c:noMultiLvlLbl val="0"/>
      </c:catAx>
      <c:valAx>
        <c:axId val="1771604768"/>
        <c:scaling>
          <c:orientation val="minMax"/>
          <c:max val="1"/>
        </c:scaling>
        <c:delete val="1"/>
        <c:axPos val="l"/>
        <c:numFmt formatCode="0%" sourceLinked="1"/>
        <c:majorTickMark val="none"/>
        <c:minorTickMark val="none"/>
        <c:tickLblPos val="nextTo"/>
        <c:crossAx val="177141523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A1'!$I$2</c:f>
              <c:strCache>
                <c:ptCount val="1"/>
                <c:pt idx="0">
                  <c:v>Zero EFC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A1'!$H$3:$H$6</c:f>
              <c:strCache>
                <c:ptCount val="4"/>
                <c:pt idx="0">
                  <c:v>Black</c:v>
                </c:pt>
                <c:pt idx="1">
                  <c:v>Asian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A1'!$I$3:$I$6</c:f>
              <c:numCache>
                <c:formatCode>0%</c:formatCode>
                <c:ptCount val="4"/>
                <c:pt idx="0">
                  <c:v>0.47252747252747251</c:v>
                </c:pt>
                <c:pt idx="1">
                  <c:v>0.22945205479452055</c:v>
                </c:pt>
                <c:pt idx="2">
                  <c:v>0.50879437160217456</c:v>
                </c:pt>
                <c:pt idx="3">
                  <c:v>0.15532646048109966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6C-8D44-A0C8-DFC71012B6B5}"/>
            </c:ext>
          </c:extLst>
        </c:ser>
        <c:ser>
          <c:idx val="1"/>
          <c:order val="1"/>
          <c:tx>
            <c:strRef>
              <c:f>'Figure A1'!$J$2</c:f>
              <c:strCache>
                <c:ptCount val="1"/>
                <c:pt idx="0">
                  <c:v>Pell-Eligible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A1'!$H$3:$H$6</c:f>
              <c:strCache>
                <c:ptCount val="4"/>
                <c:pt idx="0">
                  <c:v>Black</c:v>
                </c:pt>
                <c:pt idx="1">
                  <c:v>Asian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A1'!$J$3:$J$6</c:f>
              <c:numCache>
                <c:formatCode>0%</c:formatCode>
                <c:ptCount val="4"/>
                <c:pt idx="0">
                  <c:v>0.25274725274725274</c:v>
                </c:pt>
                <c:pt idx="1">
                  <c:v>0.1906392694063927</c:v>
                </c:pt>
                <c:pt idx="2">
                  <c:v>0.30540454109370002</c:v>
                </c:pt>
                <c:pt idx="3">
                  <c:v>0.15257731958762888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6C-8D44-A0C8-DFC71012B6B5}"/>
            </c:ext>
          </c:extLst>
        </c:ser>
        <c:ser>
          <c:idx val="2"/>
          <c:order val="2"/>
          <c:tx>
            <c:strRef>
              <c:f>'Figure A1'!$K$2</c:f>
              <c:strCache>
                <c:ptCount val="1"/>
                <c:pt idx="0">
                  <c:v>Not Pell-Eligible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A1'!$H$3:$H$6</c:f>
              <c:strCache>
                <c:ptCount val="4"/>
                <c:pt idx="0">
                  <c:v>Black</c:v>
                </c:pt>
                <c:pt idx="1">
                  <c:v>Asian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A1'!$K$3:$K$6</c:f>
              <c:numCache>
                <c:formatCode>0%</c:formatCode>
                <c:ptCount val="4"/>
                <c:pt idx="0">
                  <c:v>0.27472527472527475</c:v>
                </c:pt>
                <c:pt idx="1">
                  <c:v>0.57990867579908678</c:v>
                </c:pt>
                <c:pt idx="2">
                  <c:v>0.18580108730412537</c:v>
                </c:pt>
                <c:pt idx="3">
                  <c:v>0.69209621993127146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6C-8D44-A0C8-DFC71012B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519248"/>
        <c:axId val="1161596160"/>
      </c:barChart>
      <c:catAx>
        <c:axId val="97551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596160"/>
        <c:crosses val="autoZero"/>
        <c:auto val="1"/>
        <c:lblAlgn val="ctr"/>
        <c:lblOffset val="100"/>
        <c:noMultiLvlLbl val="0"/>
      </c:catAx>
      <c:valAx>
        <c:axId val="1161596160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51924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7A'!$A$10</c:f>
              <c:strCache>
                <c:ptCount val="1"/>
                <c:pt idx="0">
                  <c:v>Zero EFC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7A'!$B$9:$I$9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 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</c:v>
                </c:pt>
                <c:pt idx="7">
                  <c:v>Military/VA Benefits</c:v>
                </c:pt>
              </c:strCache>
            </c:strRef>
          </c:cat>
          <c:val>
            <c:numRef>
              <c:f>'Figure 7A'!$B$10:$I$10</c:f>
              <c:numCache>
                <c:formatCode>0%</c:formatCode>
                <c:ptCount val="8"/>
                <c:pt idx="0">
                  <c:v>0.56000000000000005</c:v>
                </c:pt>
                <c:pt idx="1">
                  <c:v>0.49</c:v>
                </c:pt>
                <c:pt idx="2">
                  <c:v>0.68</c:v>
                </c:pt>
                <c:pt idx="3">
                  <c:v>0.22</c:v>
                </c:pt>
                <c:pt idx="4">
                  <c:v>0.3</c:v>
                </c:pt>
                <c:pt idx="5">
                  <c:v>0.26</c:v>
                </c:pt>
                <c:pt idx="6">
                  <c:v>0.03</c:v>
                </c:pt>
                <c:pt idx="7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5D-0C4F-BEE4-733D9C395AB1}"/>
            </c:ext>
          </c:extLst>
        </c:ser>
        <c:ser>
          <c:idx val="1"/>
          <c:order val="1"/>
          <c:tx>
            <c:strRef>
              <c:f>'Figure 7A'!$A$11</c:f>
              <c:strCache>
                <c:ptCount val="1"/>
                <c:pt idx="0">
                  <c:v>Pell-eligible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7A'!$B$9:$I$9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 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</c:v>
                </c:pt>
                <c:pt idx="7">
                  <c:v>Military/VA Benefits</c:v>
                </c:pt>
              </c:strCache>
            </c:strRef>
          </c:cat>
          <c:val>
            <c:numRef>
              <c:f>'Figure 7A'!$B$11:$I$11</c:f>
              <c:numCache>
                <c:formatCode>0%</c:formatCode>
                <c:ptCount val="8"/>
                <c:pt idx="0">
                  <c:v>0.56999999999999995</c:v>
                </c:pt>
                <c:pt idx="1">
                  <c:v>0.53</c:v>
                </c:pt>
                <c:pt idx="2">
                  <c:v>0.68</c:v>
                </c:pt>
                <c:pt idx="3">
                  <c:v>0.36</c:v>
                </c:pt>
                <c:pt idx="4">
                  <c:v>0.35</c:v>
                </c:pt>
                <c:pt idx="5">
                  <c:v>0.32</c:v>
                </c:pt>
                <c:pt idx="6">
                  <c:v>0.04</c:v>
                </c:pt>
                <c:pt idx="7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5D-0C4F-BEE4-733D9C395AB1}"/>
            </c:ext>
          </c:extLst>
        </c:ser>
        <c:ser>
          <c:idx val="2"/>
          <c:order val="2"/>
          <c:tx>
            <c:strRef>
              <c:f>'Figure 7A'!$A$12</c:f>
              <c:strCache>
                <c:ptCount val="1"/>
                <c:pt idx="0">
                  <c:v>Not Pell-eligible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7A'!$B$9:$I$9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 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</c:v>
                </c:pt>
                <c:pt idx="7">
                  <c:v>Military/VA Benefits</c:v>
                </c:pt>
              </c:strCache>
            </c:strRef>
          </c:cat>
          <c:val>
            <c:numRef>
              <c:f>'Figure 7A'!$B$12:$I$12</c:f>
              <c:numCache>
                <c:formatCode>0%</c:formatCode>
                <c:ptCount val="8"/>
                <c:pt idx="0">
                  <c:v>0.5</c:v>
                </c:pt>
                <c:pt idx="1">
                  <c:v>0.52</c:v>
                </c:pt>
                <c:pt idx="2">
                  <c:v>0.27</c:v>
                </c:pt>
                <c:pt idx="3">
                  <c:v>0.68</c:v>
                </c:pt>
                <c:pt idx="4">
                  <c:v>0.4</c:v>
                </c:pt>
                <c:pt idx="5">
                  <c:v>0.41</c:v>
                </c:pt>
                <c:pt idx="6">
                  <c:v>0.06</c:v>
                </c:pt>
                <c:pt idx="7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5D-0C4F-BEE4-733D9C395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7142528"/>
        <c:axId val="887674528"/>
      </c:barChart>
      <c:catAx>
        <c:axId val="88714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674528"/>
        <c:crosses val="autoZero"/>
        <c:auto val="1"/>
        <c:lblAlgn val="ctr"/>
        <c:lblOffset val="100"/>
        <c:noMultiLvlLbl val="0"/>
      </c:catAx>
      <c:valAx>
        <c:axId val="887674528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14252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7A'!$A$3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7A'!$B$2:$I$2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 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</c:v>
                </c:pt>
                <c:pt idx="7">
                  <c:v>Military/VA Benefits</c:v>
                </c:pt>
              </c:strCache>
            </c:strRef>
          </c:cat>
          <c:val>
            <c:numRef>
              <c:f>'Figure 7A'!$B$3:$I$3</c:f>
              <c:numCache>
                <c:formatCode>0%</c:formatCode>
                <c:ptCount val="8"/>
                <c:pt idx="0">
                  <c:v>0.55000000000000004</c:v>
                </c:pt>
                <c:pt idx="1">
                  <c:v>0.37</c:v>
                </c:pt>
                <c:pt idx="2">
                  <c:v>0.47</c:v>
                </c:pt>
                <c:pt idx="3">
                  <c:v>0.28000000000000003</c:v>
                </c:pt>
                <c:pt idx="4">
                  <c:v>0.33</c:v>
                </c:pt>
                <c:pt idx="5">
                  <c:v>0.24</c:v>
                </c:pt>
                <c:pt idx="6">
                  <c:v>0.04</c:v>
                </c:pt>
                <c:pt idx="7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26-374D-9BC0-60768B1E291E}"/>
            </c:ext>
          </c:extLst>
        </c:ser>
        <c:ser>
          <c:idx val="1"/>
          <c:order val="1"/>
          <c:tx>
            <c:strRef>
              <c:f>'Figure 7A'!$A$4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7A'!$B$2:$I$2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 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</c:v>
                </c:pt>
                <c:pt idx="7">
                  <c:v>Military/VA Benefits</c:v>
                </c:pt>
              </c:strCache>
            </c:strRef>
          </c:cat>
          <c:val>
            <c:numRef>
              <c:f>'Figure 7A'!$B$4:$I$4</c:f>
              <c:numCache>
                <c:formatCode>0%</c:formatCode>
                <c:ptCount val="8"/>
                <c:pt idx="0">
                  <c:v>0.53</c:v>
                </c:pt>
                <c:pt idx="1">
                  <c:v>0.5</c:v>
                </c:pt>
                <c:pt idx="2">
                  <c:v>0.6</c:v>
                </c:pt>
                <c:pt idx="3">
                  <c:v>0.43</c:v>
                </c:pt>
                <c:pt idx="4">
                  <c:v>0.35</c:v>
                </c:pt>
                <c:pt idx="5">
                  <c:v>0.35</c:v>
                </c:pt>
                <c:pt idx="6">
                  <c:v>0.05</c:v>
                </c:pt>
                <c:pt idx="7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26-374D-9BC0-60768B1E291E}"/>
            </c:ext>
          </c:extLst>
        </c:ser>
        <c:ser>
          <c:idx val="2"/>
          <c:order val="2"/>
          <c:tx>
            <c:strRef>
              <c:f>'Figure 7A'!$A$5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7A'!$B$2:$I$2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 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</c:v>
                </c:pt>
                <c:pt idx="7">
                  <c:v>Military/VA Benefits</c:v>
                </c:pt>
              </c:strCache>
            </c:strRef>
          </c:cat>
          <c:val>
            <c:numRef>
              <c:f>'Figure 7A'!$B$5:$I$5</c:f>
              <c:numCache>
                <c:formatCode>0%</c:formatCode>
                <c:ptCount val="8"/>
                <c:pt idx="0">
                  <c:v>0.54</c:v>
                </c:pt>
                <c:pt idx="1">
                  <c:v>0.62</c:v>
                </c:pt>
                <c:pt idx="2">
                  <c:v>0.57999999999999996</c:v>
                </c:pt>
                <c:pt idx="3">
                  <c:v>0.57999999999999996</c:v>
                </c:pt>
                <c:pt idx="4">
                  <c:v>0.39</c:v>
                </c:pt>
                <c:pt idx="5">
                  <c:v>0.4</c:v>
                </c:pt>
                <c:pt idx="6">
                  <c:v>0.06</c:v>
                </c:pt>
                <c:pt idx="7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26-374D-9BC0-60768B1E2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6291664"/>
        <c:axId val="916084064"/>
      </c:barChart>
      <c:catAx>
        <c:axId val="91629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084064"/>
        <c:crosses val="autoZero"/>
        <c:auto val="1"/>
        <c:lblAlgn val="ctr"/>
        <c:lblOffset val="100"/>
        <c:noMultiLvlLbl val="0"/>
      </c:catAx>
      <c:valAx>
        <c:axId val="916084064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29166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Zero EFC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A4'!$K$20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A4'!$L$19:$S$19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cards</c:v>
                </c:pt>
                <c:pt idx="7">
                  <c:v>Military </c:v>
                </c:pt>
              </c:strCache>
            </c:strRef>
          </c:cat>
          <c:val>
            <c:numRef>
              <c:f>'Figure A4'!$L$20:$S$20</c:f>
              <c:numCache>
                <c:formatCode>0%</c:formatCode>
                <c:ptCount val="8"/>
                <c:pt idx="0">
                  <c:v>0.5</c:v>
                </c:pt>
                <c:pt idx="1">
                  <c:v>0.59</c:v>
                </c:pt>
                <c:pt idx="2">
                  <c:v>0.78</c:v>
                </c:pt>
                <c:pt idx="3">
                  <c:v>0.26</c:v>
                </c:pt>
                <c:pt idx="4">
                  <c:v>0.17</c:v>
                </c:pt>
                <c:pt idx="5">
                  <c:v>0.33</c:v>
                </c:pt>
                <c:pt idx="6">
                  <c:v>0</c:v>
                </c:pt>
                <c:pt idx="7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9C-A242-A331-C208F40636B2}"/>
            </c:ext>
          </c:extLst>
        </c:ser>
        <c:ser>
          <c:idx val="1"/>
          <c:order val="1"/>
          <c:tx>
            <c:strRef>
              <c:f>'Figure A4'!$K$21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A4'!$L$19:$S$19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cards</c:v>
                </c:pt>
                <c:pt idx="7">
                  <c:v>Military </c:v>
                </c:pt>
              </c:strCache>
            </c:strRef>
          </c:cat>
          <c:val>
            <c:numRef>
              <c:f>'Figure A4'!$L$21:$S$21</c:f>
              <c:numCache>
                <c:formatCode>0%</c:formatCode>
                <c:ptCount val="8"/>
                <c:pt idx="0">
                  <c:v>0.49</c:v>
                </c:pt>
                <c:pt idx="1">
                  <c:v>0.56999999999999995</c:v>
                </c:pt>
                <c:pt idx="2">
                  <c:v>0.82</c:v>
                </c:pt>
                <c:pt idx="3">
                  <c:v>0.38</c:v>
                </c:pt>
                <c:pt idx="4">
                  <c:v>0.33</c:v>
                </c:pt>
                <c:pt idx="5">
                  <c:v>0.32</c:v>
                </c:pt>
                <c:pt idx="6">
                  <c:v>0.06</c:v>
                </c:pt>
                <c:pt idx="7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9C-A242-A331-C208F40636B2}"/>
            </c:ext>
          </c:extLst>
        </c:ser>
        <c:ser>
          <c:idx val="2"/>
          <c:order val="2"/>
          <c:tx>
            <c:strRef>
              <c:f>'Figure A4'!$K$22</c:f>
              <c:strCache>
                <c:ptCount val="1"/>
                <c:pt idx="0">
                  <c:v>Latinx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'Figure A4'!$L$19:$S$19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cards</c:v>
                </c:pt>
                <c:pt idx="7">
                  <c:v>Military </c:v>
                </c:pt>
              </c:strCache>
            </c:strRef>
          </c:cat>
          <c:val>
            <c:numRef>
              <c:f>'Figure A4'!$L$22:$S$22</c:f>
              <c:numCache>
                <c:formatCode>0%</c:formatCode>
                <c:ptCount val="8"/>
                <c:pt idx="0">
                  <c:v>0.6</c:v>
                </c:pt>
                <c:pt idx="1">
                  <c:v>0.47</c:v>
                </c:pt>
                <c:pt idx="2">
                  <c:v>0.65</c:v>
                </c:pt>
                <c:pt idx="3">
                  <c:v>0.19</c:v>
                </c:pt>
                <c:pt idx="4">
                  <c:v>0.32</c:v>
                </c:pt>
                <c:pt idx="5">
                  <c:v>0.24</c:v>
                </c:pt>
                <c:pt idx="6">
                  <c:v>0.03</c:v>
                </c:pt>
                <c:pt idx="7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9C-A242-A331-C208F40636B2}"/>
            </c:ext>
          </c:extLst>
        </c:ser>
        <c:ser>
          <c:idx val="3"/>
          <c:order val="3"/>
          <c:tx>
            <c:strRef>
              <c:f>'Figure A4'!$K$23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A4'!$L$19:$S$19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cards</c:v>
                </c:pt>
                <c:pt idx="7">
                  <c:v>Military </c:v>
                </c:pt>
              </c:strCache>
            </c:strRef>
          </c:cat>
          <c:val>
            <c:numRef>
              <c:f>'Figure A4'!$L$23:$S$23</c:f>
              <c:numCache>
                <c:formatCode>0%</c:formatCode>
                <c:ptCount val="8"/>
                <c:pt idx="0">
                  <c:v>0.42</c:v>
                </c:pt>
                <c:pt idx="1">
                  <c:v>0.55000000000000004</c:v>
                </c:pt>
                <c:pt idx="2">
                  <c:v>0.77</c:v>
                </c:pt>
                <c:pt idx="3">
                  <c:v>0.25</c:v>
                </c:pt>
                <c:pt idx="4">
                  <c:v>0.32</c:v>
                </c:pt>
                <c:pt idx="5">
                  <c:v>0.35</c:v>
                </c:pt>
                <c:pt idx="6">
                  <c:v>0.03</c:v>
                </c:pt>
                <c:pt idx="7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9C-A242-A331-C208F4063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9006272"/>
        <c:axId val="1538366544"/>
      </c:barChart>
      <c:catAx>
        <c:axId val="153900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366544"/>
        <c:crosses val="autoZero"/>
        <c:auto val="1"/>
        <c:lblAlgn val="ctr"/>
        <c:lblOffset val="100"/>
        <c:noMultiLvlLbl val="0"/>
      </c:catAx>
      <c:valAx>
        <c:axId val="153836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00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A4'!$K$27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A4'!$L$26:$S$26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cards</c:v>
                </c:pt>
                <c:pt idx="7">
                  <c:v>Military </c:v>
                </c:pt>
              </c:strCache>
            </c:strRef>
          </c:cat>
          <c:val>
            <c:numRef>
              <c:f>'Figure A4'!$L$27:$S$27</c:f>
              <c:numCache>
                <c:formatCode>0%</c:formatCode>
                <c:ptCount val="8"/>
                <c:pt idx="0">
                  <c:v>0.54</c:v>
                </c:pt>
                <c:pt idx="1">
                  <c:v>0.69</c:v>
                </c:pt>
                <c:pt idx="2">
                  <c:v>0.74</c:v>
                </c:pt>
                <c:pt idx="3">
                  <c:v>0.43</c:v>
                </c:pt>
                <c:pt idx="4">
                  <c:v>0.22</c:v>
                </c:pt>
                <c:pt idx="5">
                  <c:v>0.4</c:v>
                </c:pt>
                <c:pt idx="6">
                  <c:v>0.02</c:v>
                </c:pt>
                <c:pt idx="7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E2-1945-BCC7-6722DD099C46}"/>
            </c:ext>
          </c:extLst>
        </c:ser>
        <c:ser>
          <c:idx val="1"/>
          <c:order val="1"/>
          <c:tx>
            <c:strRef>
              <c:f>'Figure A4'!$K$28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A4'!$L$26:$S$26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cards</c:v>
                </c:pt>
                <c:pt idx="7">
                  <c:v>Military </c:v>
                </c:pt>
              </c:strCache>
            </c:strRef>
          </c:cat>
          <c:val>
            <c:numRef>
              <c:f>'Figure A4'!$L$28:$S$28</c:f>
              <c:numCache>
                <c:formatCode>0%</c:formatCode>
                <c:ptCount val="8"/>
                <c:pt idx="0">
                  <c:v>0.6</c:v>
                </c:pt>
                <c:pt idx="1">
                  <c:v>0.5</c:v>
                </c:pt>
                <c:pt idx="2">
                  <c:v>0.71</c:v>
                </c:pt>
                <c:pt idx="3">
                  <c:v>0.55000000000000004</c:v>
                </c:pt>
                <c:pt idx="4">
                  <c:v>0.41</c:v>
                </c:pt>
                <c:pt idx="5">
                  <c:v>0.36</c:v>
                </c:pt>
                <c:pt idx="6">
                  <c:v>0.05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E2-1945-BCC7-6722DD099C46}"/>
            </c:ext>
          </c:extLst>
        </c:ser>
        <c:ser>
          <c:idx val="2"/>
          <c:order val="2"/>
          <c:tx>
            <c:strRef>
              <c:f>'Figure A4'!$K$29</c:f>
              <c:strCache>
                <c:ptCount val="1"/>
                <c:pt idx="0">
                  <c:v>Latinx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'Figure A4'!$L$26:$S$26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cards</c:v>
                </c:pt>
                <c:pt idx="7">
                  <c:v>Military </c:v>
                </c:pt>
              </c:strCache>
            </c:strRef>
          </c:cat>
          <c:val>
            <c:numRef>
              <c:f>'Figure A4'!$L$29:$S$29</c:f>
              <c:numCache>
                <c:formatCode>0%</c:formatCode>
                <c:ptCount val="8"/>
                <c:pt idx="0">
                  <c:v>0.61</c:v>
                </c:pt>
                <c:pt idx="1">
                  <c:v>0.5</c:v>
                </c:pt>
                <c:pt idx="2">
                  <c:v>0.67</c:v>
                </c:pt>
                <c:pt idx="3">
                  <c:v>0.32</c:v>
                </c:pt>
                <c:pt idx="4">
                  <c:v>0.35</c:v>
                </c:pt>
                <c:pt idx="5">
                  <c:v>0.28000000000000003</c:v>
                </c:pt>
                <c:pt idx="6">
                  <c:v>0.04</c:v>
                </c:pt>
                <c:pt idx="7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E2-1945-BCC7-6722DD099C46}"/>
            </c:ext>
          </c:extLst>
        </c:ser>
        <c:ser>
          <c:idx val="3"/>
          <c:order val="3"/>
          <c:tx>
            <c:strRef>
              <c:f>'Figure A4'!$K$30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A4'!$L$26:$S$26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cards</c:v>
                </c:pt>
                <c:pt idx="7">
                  <c:v>Military </c:v>
                </c:pt>
              </c:strCache>
            </c:strRef>
          </c:cat>
          <c:val>
            <c:numRef>
              <c:f>'Figure A4'!$L$30:$S$30</c:f>
              <c:numCache>
                <c:formatCode>0%</c:formatCode>
                <c:ptCount val="8"/>
                <c:pt idx="0">
                  <c:v>0.59</c:v>
                </c:pt>
                <c:pt idx="1">
                  <c:v>0.59</c:v>
                </c:pt>
                <c:pt idx="2">
                  <c:v>0.73</c:v>
                </c:pt>
                <c:pt idx="3">
                  <c:v>0.42</c:v>
                </c:pt>
                <c:pt idx="4">
                  <c:v>0.43</c:v>
                </c:pt>
                <c:pt idx="5">
                  <c:v>0.41</c:v>
                </c:pt>
                <c:pt idx="6">
                  <c:v>0.04</c:v>
                </c:pt>
                <c:pt idx="7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E2-1945-BCC7-6722DD099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8822192"/>
        <c:axId val="1538889312"/>
      </c:barChart>
      <c:catAx>
        <c:axId val="153882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889312"/>
        <c:crosses val="autoZero"/>
        <c:auto val="1"/>
        <c:lblAlgn val="ctr"/>
        <c:lblOffset val="100"/>
        <c:noMultiLvlLbl val="0"/>
      </c:catAx>
      <c:valAx>
        <c:axId val="153888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82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 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A4'!$K$34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A4'!$L$33:$S$33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cards</c:v>
                </c:pt>
                <c:pt idx="7">
                  <c:v>Military </c:v>
                </c:pt>
              </c:strCache>
            </c:strRef>
          </c:cat>
          <c:val>
            <c:numRef>
              <c:f>'Figure A4'!$L$34:$S$34</c:f>
              <c:numCache>
                <c:formatCode>0%</c:formatCode>
                <c:ptCount val="8"/>
                <c:pt idx="0">
                  <c:v>0.53</c:v>
                </c:pt>
                <c:pt idx="1">
                  <c:v>0.66</c:v>
                </c:pt>
                <c:pt idx="2">
                  <c:v>0.49</c:v>
                </c:pt>
                <c:pt idx="3">
                  <c:v>0.52</c:v>
                </c:pt>
                <c:pt idx="4">
                  <c:v>0.22</c:v>
                </c:pt>
                <c:pt idx="5">
                  <c:v>0.56000000000000005</c:v>
                </c:pt>
                <c:pt idx="6">
                  <c:v>7.0000000000000007E-2</c:v>
                </c:pt>
                <c:pt idx="7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0-6B45-911C-7ECD591EFDF8}"/>
            </c:ext>
          </c:extLst>
        </c:ser>
        <c:ser>
          <c:idx val="1"/>
          <c:order val="1"/>
          <c:tx>
            <c:strRef>
              <c:f>'Figure A4'!$K$35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A4'!$L$33:$S$33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cards</c:v>
                </c:pt>
                <c:pt idx="7">
                  <c:v>Military </c:v>
                </c:pt>
              </c:strCache>
            </c:strRef>
          </c:cat>
          <c:val>
            <c:numRef>
              <c:f>'Figure A4'!$L$35:$S$35</c:f>
              <c:numCache>
                <c:formatCode>0%</c:formatCode>
                <c:ptCount val="8"/>
                <c:pt idx="0">
                  <c:v>0.44</c:v>
                </c:pt>
                <c:pt idx="1">
                  <c:v>0.48</c:v>
                </c:pt>
                <c:pt idx="2">
                  <c:v>0.22</c:v>
                </c:pt>
                <c:pt idx="3">
                  <c:v>0.81</c:v>
                </c:pt>
                <c:pt idx="4">
                  <c:v>0.36</c:v>
                </c:pt>
                <c:pt idx="5">
                  <c:v>0.37</c:v>
                </c:pt>
                <c:pt idx="6">
                  <c:v>7.0000000000000007E-2</c:v>
                </c:pt>
                <c:pt idx="7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10-6B45-911C-7ECD591EFDF8}"/>
            </c:ext>
          </c:extLst>
        </c:ser>
        <c:ser>
          <c:idx val="2"/>
          <c:order val="2"/>
          <c:tx>
            <c:strRef>
              <c:f>'Figure A4'!$K$36</c:f>
              <c:strCache>
                <c:ptCount val="1"/>
                <c:pt idx="0">
                  <c:v>Latinx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'Figure A4'!$L$33:$S$33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cards</c:v>
                </c:pt>
                <c:pt idx="7">
                  <c:v>Military </c:v>
                </c:pt>
              </c:strCache>
            </c:strRef>
          </c:cat>
          <c:val>
            <c:numRef>
              <c:f>'Figure A4'!$L$36:$S$36</c:f>
              <c:numCache>
                <c:formatCode>0%</c:formatCode>
                <c:ptCount val="8"/>
                <c:pt idx="0">
                  <c:v>0.59</c:v>
                </c:pt>
                <c:pt idx="1">
                  <c:v>0.49</c:v>
                </c:pt>
                <c:pt idx="2">
                  <c:v>0.38</c:v>
                </c:pt>
                <c:pt idx="3">
                  <c:v>0.5</c:v>
                </c:pt>
                <c:pt idx="4">
                  <c:v>0.4</c:v>
                </c:pt>
                <c:pt idx="5">
                  <c:v>0.38</c:v>
                </c:pt>
                <c:pt idx="6">
                  <c:v>0.05</c:v>
                </c:pt>
                <c:pt idx="7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10-6B45-911C-7ECD591EFDF8}"/>
            </c:ext>
          </c:extLst>
        </c:ser>
        <c:ser>
          <c:idx val="3"/>
          <c:order val="3"/>
          <c:tx>
            <c:strRef>
              <c:f>'Figure A4'!$K$37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A4'!$L$33:$S$33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cards</c:v>
                </c:pt>
                <c:pt idx="7">
                  <c:v>Military </c:v>
                </c:pt>
              </c:strCache>
            </c:strRef>
          </c:cat>
          <c:val>
            <c:numRef>
              <c:f>'Figure A4'!$L$37:$S$37</c:f>
              <c:numCache>
                <c:formatCode>0%</c:formatCode>
                <c:ptCount val="8"/>
                <c:pt idx="0">
                  <c:v>0.5</c:v>
                </c:pt>
                <c:pt idx="1">
                  <c:v>0.56000000000000005</c:v>
                </c:pt>
                <c:pt idx="2">
                  <c:v>0.22</c:v>
                </c:pt>
                <c:pt idx="3">
                  <c:v>0.74</c:v>
                </c:pt>
                <c:pt idx="4">
                  <c:v>0.43</c:v>
                </c:pt>
                <c:pt idx="5">
                  <c:v>0.43</c:v>
                </c:pt>
                <c:pt idx="6">
                  <c:v>0.04</c:v>
                </c:pt>
                <c:pt idx="7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10-6B45-911C-7ECD591EF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4161504"/>
        <c:axId val="1264134928"/>
      </c:barChart>
      <c:catAx>
        <c:axId val="126416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134928"/>
        <c:crosses val="autoZero"/>
        <c:auto val="1"/>
        <c:lblAlgn val="ctr"/>
        <c:lblOffset val="100"/>
        <c:noMultiLvlLbl val="0"/>
      </c:catAx>
      <c:valAx>
        <c:axId val="126413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16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227665215243917E-2"/>
          <c:y val="6.4088851691803173E-2"/>
          <c:w val="0.91091076304719298"/>
          <c:h val="0.828391377867354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Quotes!$G$1</c:f>
              <c:strCache>
                <c:ptCount val="1"/>
                <c:pt idx="0">
                  <c:v>Share of Affordability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Quotes!$F$2:$F$7</c:f>
              <c:strCache>
                <c:ptCount val="6"/>
                <c:pt idx="0">
                  <c:v>Employment</c:v>
                </c:pt>
                <c:pt idx="1">
                  <c:v>Cost of attendance</c:v>
                </c:pt>
                <c:pt idx="2">
                  <c:v>Student debt/ Financial Aid</c:v>
                </c:pt>
                <c:pt idx="3">
                  <c:v>Food/ Budgeting/ Transportation</c:v>
                </c:pt>
                <c:pt idx="4">
                  <c:v>Other</c:v>
                </c:pt>
                <c:pt idx="5">
                  <c:v>Not specific</c:v>
                </c:pt>
              </c:strCache>
            </c:strRef>
          </c:cat>
          <c:val>
            <c:numRef>
              <c:f>Quotes!$G$2:$G$7</c:f>
              <c:numCache>
                <c:formatCode>0%</c:formatCode>
                <c:ptCount val="6"/>
                <c:pt idx="0">
                  <c:v>0.38</c:v>
                </c:pt>
                <c:pt idx="1">
                  <c:v>0.33</c:v>
                </c:pt>
                <c:pt idx="2">
                  <c:v>0.08</c:v>
                </c:pt>
                <c:pt idx="3">
                  <c:v>0.06</c:v>
                </c:pt>
                <c:pt idx="4">
                  <c:v>0.06</c:v>
                </c:pt>
                <c:pt idx="5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C5-8145-A570-5EF10191D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6503871"/>
        <c:axId val="507442527"/>
      </c:barChart>
      <c:catAx>
        <c:axId val="50650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442527"/>
        <c:crosses val="autoZero"/>
        <c:auto val="1"/>
        <c:lblAlgn val="ctr"/>
        <c:lblOffset val="100"/>
        <c:noMultiLvlLbl val="0"/>
      </c:catAx>
      <c:valAx>
        <c:axId val="507442527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503871"/>
        <c:crosses val="autoZero"/>
        <c:crossBetween val="between"/>
        <c:majorUnit val="0.2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531284</xdr:colOff>
      <xdr:row>0</xdr:row>
      <xdr:rowOff>127000</xdr:rowOff>
    </xdr:from>
    <xdr:to>
      <xdr:col>14</xdr:col>
      <xdr:colOff>201084</xdr:colOff>
      <xdr:row>18</xdr:row>
      <xdr:rowOff>169333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1DFB94-C674-F311-D903-94DF973A84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463550</xdr:colOff>
      <xdr:row>9</xdr:row>
      <xdr:rowOff>76200</xdr:rowOff>
    </xdr:from>
    <xdr:to>
      <xdr:col>15</xdr:col>
      <xdr:colOff>114300</xdr:colOff>
      <xdr:row>32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A996F5-DB1C-4D7F-83FD-9037CAB5C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11</xdr:row>
      <xdr:rowOff>0</xdr:rowOff>
    </xdr:from>
    <xdr:to>
      <xdr:col>14</xdr:col>
      <xdr:colOff>546100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723B5B-8677-6A2C-1535-293AFF18E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685800</xdr:colOff>
      <xdr:row>2</xdr:row>
      <xdr:rowOff>146050</xdr:rowOff>
    </xdr:from>
    <xdr:to>
      <xdr:col>12</xdr:col>
      <xdr:colOff>571500</xdr:colOff>
      <xdr:row>28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534C1F-A22F-0904-4E29-8A2871DF6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8</xdr:row>
      <xdr:rowOff>57150</xdr:rowOff>
    </xdr:from>
    <xdr:to>
      <xdr:col>6</xdr:col>
      <xdr:colOff>552450</xdr:colOff>
      <xdr:row>27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A519C7-4BF2-9E4B-438F-C299F3B0D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571500</xdr:colOff>
      <xdr:row>8</xdr:row>
      <xdr:rowOff>63500</xdr:rowOff>
    </xdr:from>
    <xdr:to>
      <xdr:col>12</xdr:col>
      <xdr:colOff>476250</xdr:colOff>
      <xdr:row>27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BB9CE9-D874-C812-394D-EFCF1AC7D7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501650</xdr:colOff>
      <xdr:row>8</xdr:row>
      <xdr:rowOff>44450</xdr:rowOff>
    </xdr:from>
    <xdr:to>
      <xdr:col>19</xdr:col>
      <xdr:colOff>292100</xdr:colOff>
      <xdr:row>27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7976B5B-A9E7-8292-8A93-F7F696BE2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215900</xdr:colOff>
      <xdr:row>7</xdr:row>
      <xdr:rowOff>31750</xdr:rowOff>
    </xdr:from>
    <xdr:to>
      <xdr:col>9</xdr:col>
      <xdr:colOff>654050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7DDA25-0330-A2C7-03C8-0B5BC25A8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184150</xdr:colOff>
      <xdr:row>5</xdr:row>
      <xdr:rowOff>190500</xdr:rowOff>
    </xdr:from>
    <xdr:to>
      <xdr:col>7</xdr:col>
      <xdr:colOff>139700</xdr:colOff>
      <xdr:row>26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45EF66-90E6-DED3-2C42-D86586854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349250</xdr:colOff>
      <xdr:row>6</xdr:row>
      <xdr:rowOff>25400</xdr:rowOff>
    </xdr:from>
    <xdr:to>
      <xdr:col>13</xdr:col>
      <xdr:colOff>355600</xdr:colOff>
      <xdr:row>26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7052B1-8390-780F-095A-FFAF22399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609600</xdr:colOff>
      <xdr:row>6</xdr:row>
      <xdr:rowOff>6350</xdr:rowOff>
    </xdr:from>
    <xdr:to>
      <xdr:col>19</xdr:col>
      <xdr:colOff>546100</xdr:colOff>
      <xdr:row>26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DD402E-7D8B-6170-FBDD-8C6E211DC7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2</xdr:row>
      <xdr:rowOff>88900</xdr:rowOff>
    </xdr:from>
    <xdr:to>
      <xdr:col>15</xdr:col>
      <xdr:colOff>660400</xdr:colOff>
      <xdr:row>20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72795E-BDD8-52FC-D03D-D4F2BFD44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679450</xdr:colOff>
      <xdr:row>1</xdr:row>
      <xdr:rowOff>139700</xdr:rowOff>
    </xdr:from>
    <xdr:to>
      <xdr:col>14</xdr:col>
      <xdr:colOff>419100</xdr:colOff>
      <xdr:row>23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0F2635-FC22-2ABF-3DD3-92AD063D6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12</xdr:row>
      <xdr:rowOff>38100</xdr:rowOff>
    </xdr:from>
    <xdr:to>
      <xdr:col>11</xdr:col>
      <xdr:colOff>546100</xdr:colOff>
      <xdr:row>31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1DC5C6-6374-5401-DD72-381783734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527050</xdr:colOff>
      <xdr:row>12</xdr:row>
      <xdr:rowOff>63500</xdr:rowOff>
    </xdr:from>
    <xdr:to>
      <xdr:col>17</xdr:col>
      <xdr:colOff>215900</xdr:colOff>
      <xdr:row>31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CB08DB-7673-E528-CA78-85EF37430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82550</xdr:colOff>
      <xdr:row>1</xdr:row>
      <xdr:rowOff>12700</xdr:rowOff>
    </xdr:from>
    <xdr:to>
      <xdr:col>10</xdr:col>
      <xdr:colOff>520700</xdr:colOff>
      <xdr:row>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2BAC66-5322-91D5-B4EB-8199F1D7B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565150</xdr:colOff>
      <xdr:row>0</xdr:row>
      <xdr:rowOff>165100</xdr:rowOff>
    </xdr:from>
    <xdr:to>
      <xdr:col>16</xdr:col>
      <xdr:colOff>469900</xdr:colOff>
      <xdr:row>20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71032FA-831A-0AC5-30CF-6B92AA82D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488950</xdr:colOff>
      <xdr:row>0</xdr:row>
      <xdr:rowOff>165100</xdr:rowOff>
    </xdr:from>
    <xdr:to>
      <xdr:col>22</xdr:col>
      <xdr:colOff>215900</xdr:colOff>
      <xdr:row>20</xdr:row>
      <xdr:rowOff>107950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01253F9-D11A-D1A2-9190-6D2495F10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372021</xdr:colOff>
      <xdr:row>3</xdr:row>
      <xdr:rowOff>166767</xdr:rowOff>
    </xdr:from>
    <xdr:to>
      <xdr:col>15</xdr:col>
      <xdr:colOff>269394</xdr:colOff>
      <xdr:row>25</xdr:row>
      <xdr:rowOff>128283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FDC796-7B60-E88A-803B-7412F289A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241300</xdr:colOff>
      <xdr:row>6</xdr:row>
      <xdr:rowOff>190500</xdr:rowOff>
    </xdr:from>
    <xdr:to>
      <xdr:col>6</xdr:col>
      <xdr:colOff>152400</xdr:colOff>
      <xdr:row>29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0622C9-93A6-1D2E-7061-C29458243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292100</xdr:colOff>
      <xdr:row>7</xdr:row>
      <xdr:rowOff>0</xdr:rowOff>
    </xdr:from>
    <xdr:to>
      <xdr:col>11</xdr:col>
      <xdr:colOff>698500</xdr:colOff>
      <xdr:row>29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F0C7C4-3BA5-4AB7-12C0-1928E17EAB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31750</xdr:colOff>
      <xdr:row>6</xdr:row>
      <xdr:rowOff>190500</xdr:rowOff>
    </xdr:from>
    <xdr:to>
      <xdr:col>17</xdr:col>
      <xdr:colOff>292100</xdr:colOff>
      <xdr:row>29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C8D0715-127D-B94D-5AF9-A9FA320EED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158750</xdr:colOff>
      <xdr:row>1</xdr:row>
      <xdr:rowOff>177800</xdr:rowOff>
    </xdr:from>
    <xdr:to>
      <xdr:col>19</xdr:col>
      <xdr:colOff>444500</xdr:colOff>
      <xdr:row>20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05CAD9-3723-F1F4-FA45-3D4D3BD80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742950</xdr:colOff>
      <xdr:row>1</xdr:row>
      <xdr:rowOff>0</xdr:rowOff>
    </xdr:from>
    <xdr:to>
      <xdr:col>17</xdr:col>
      <xdr:colOff>101600</xdr:colOff>
      <xdr:row>22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36AEB2-160E-D04B-ADF6-493D93EBDB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342900</xdr:colOff>
      <xdr:row>1</xdr:row>
      <xdr:rowOff>38100</xdr:rowOff>
    </xdr:from>
    <xdr:to>
      <xdr:col>17</xdr:col>
      <xdr:colOff>723900</xdr:colOff>
      <xdr:row>20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4F4A0C-9A2A-EF43-8B76-A2C4FAD12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692150</xdr:colOff>
      <xdr:row>10</xdr:row>
      <xdr:rowOff>19050</xdr:rowOff>
    </xdr:from>
    <xdr:to>
      <xdr:col>15</xdr:col>
      <xdr:colOff>311150</xdr:colOff>
      <xdr:row>23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487C52-EE1C-690B-8DBD-20F587793E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463550</xdr:colOff>
      <xdr:row>10</xdr:row>
      <xdr:rowOff>31750</xdr:rowOff>
    </xdr:from>
    <xdr:to>
      <xdr:col>22</xdr:col>
      <xdr:colOff>190500</xdr:colOff>
      <xdr:row>25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4D4496-28B8-E14A-DC0C-1CA433962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692150</xdr:colOff>
      <xdr:row>16</xdr:row>
      <xdr:rowOff>19050</xdr:rowOff>
    </xdr:from>
    <xdr:to>
      <xdr:col>15</xdr:col>
      <xdr:colOff>311150</xdr:colOff>
      <xdr:row>29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2F0B32-C24D-C22B-E7D5-DC3F9C79E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1847850</xdr:colOff>
      <xdr:row>0</xdr:row>
      <xdr:rowOff>520700</xdr:rowOff>
    </xdr:from>
    <xdr:to>
      <xdr:col>16</xdr:col>
      <xdr:colOff>317500</xdr:colOff>
      <xdr:row>26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C5AACB-7423-194F-1156-7AE5502E5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975DD-58FE-3045-94EA-5C07AA31B3BF}">
  <dimension ref="A1:L27"/>
  <sheetViews>
    <sheetView zoomScale="120" zoomScaleNormal="120" workbookViewId="0"/>
  </sheetViews>
  <sheetFormatPr baseColWidth="10" defaultRowHeight="16" x14ac:dyDescent="0.2"/>
  <sheetData>
    <row r="1" spans="1:7" x14ac:dyDescent="0.2">
      <c r="A1" s="14" t="s">
        <v>184</v>
      </c>
    </row>
    <row r="2" spans="1:7" x14ac:dyDescent="0.2">
      <c r="A2" t="s">
        <v>73</v>
      </c>
      <c r="B2" t="s">
        <v>1</v>
      </c>
      <c r="C2" t="s">
        <v>2</v>
      </c>
      <c r="D2" t="s">
        <v>3</v>
      </c>
      <c r="G2" s="8"/>
    </row>
    <row r="4" spans="1:7" x14ac:dyDescent="0.2">
      <c r="A4" t="s">
        <v>49</v>
      </c>
      <c r="B4" s="1">
        <v>1906</v>
      </c>
      <c r="C4">
        <v>19.32</v>
      </c>
      <c r="D4">
        <v>19.32</v>
      </c>
    </row>
    <row r="5" spans="1:7" x14ac:dyDescent="0.2">
      <c r="A5" t="s">
        <v>20</v>
      </c>
      <c r="B5" s="1">
        <v>7957</v>
      </c>
      <c r="C5">
        <v>80.680000000000007</v>
      </c>
      <c r="D5">
        <v>100</v>
      </c>
    </row>
    <row r="6" spans="1:7" x14ac:dyDescent="0.2">
      <c r="B6" s="1"/>
    </row>
    <row r="7" spans="1:7" x14ac:dyDescent="0.2">
      <c r="A7" t="s">
        <v>4</v>
      </c>
      <c r="B7" s="1">
        <v>9863</v>
      </c>
      <c r="C7">
        <v>100</v>
      </c>
    </row>
    <row r="8" spans="1:7" x14ac:dyDescent="0.2">
      <c r="B8" s="1"/>
    </row>
    <row r="11" spans="1:7" x14ac:dyDescent="0.2">
      <c r="A11" t="s">
        <v>74</v>
      </c>
      <c r="B11" t="s">
        <v>75</v>
      </c>
      <c r="C11" t="s">
        <v>76</v>
      </c>
      <c r="D11" t="s">
        <v>78</v>
      </c>
      <c r="E11" t="s">
        <v>77</v>
      </c>
      <c r="F11" t="s">
        <v>119</v>
      </c>
    </row>
    <row r="12" spans="1:7" x14ac:dyDescent="0.2">
      <c r="D12" s="1"/>
      <c r="F12" s="1"/>
    </row>
    <row r="13" spans="1:7" x14ac:dyDescent="0.2">
      <c r="A13" t="s">
        <v>49</v>
      </c>
      <c r="B13" s="1">
        <v>360</v>
      </c>
      <c r="C13" s="1">
        <v>341</v>
      </c>
      <c r="D13" s="1">
        <v>1033</v>
      </c>
      <c r="E13">
        <v>172</v>
      </c>
      <c r="F13" s="1">
        <v>1906</v>
      </c>
    </row>
    <row r="14" spans="1:7" x14ac:dyDescent="0.2">
      <c r="B14">
        <v>11.48</v>
      </c>
      <c r="C14">
        <v>16.39</v>
      </c>
      <c r="D14">
        <v>29.02</v>
      </c>
      <c r="E14">
        <v>15.84</v>
      </c>
      <c r="F14" s="1">
        <v>19.32</v>
      </c>
    </row>
    <row r="16" spans="1:7" x14ac:dyDescent="0.2">
      <c r="A16" t="s">
        <v>20</v>
      </c>
      <c r="B16" s="1">
        <v>2777</v>
      </c>
      <c r="C16" s="1">
        <v>1739</v>
      </c>
      <c r="D16" s="1">
        <v>2527</v>
      </c>
      <c r="E16" s="1">
        <v>914</v>
      </c>
      <c r="F16" s="1">
        <v>7957</v>
      </c>
    </row>
    <row r="17" spans="1:12" x14ac:dyDescent="0.2">
      <c r="B17">
        <v>88.52</v>
      </c>
      <c r="C17">
        <v>83.61</v>
      </c>
      <c r="D17">
        <v>70.98</v>
      </c>
      <c r="E17">
        <v>84.16</v>
      </c>
      <c r="F17">
        <v>80.680000000000007</v>
      </c>
    </row>
    <row r="19" spans="1:12" x14ac:dyDescent="0.2">
      <c r="A19" t="s">
        <v>4</v>
      </c>
      <c r="B19" s="1">
        <v>3137</v>
      </c>
      <c r="C19" s="1">
        <v>2080</v>
      </c>
      <c r="D19" s="1">
        <v>3560</v>
      </c>
      <c r="E19" s="1">
        <v>1086</v>
      </c>
      <c r="F19" s="1">
        <v>9863</v>
      </c>
    </row>
    <row r="20" spans="1:12" x14ac:dyDescent="0.2">
      <c r="B20">
        <v>100</v>
      </c>
      <c r="C20">
        <v>100</v>
      </c>
      <c r="D20">
        <v>100</v>
      </c>
      <c r="E20">
        <v>100</v>
      </c>
      <c r="F20">
        <v>100</v>
      </c>
      <c r="I20" t="s">
        <v>75</v>
      </c>
      <c r="J20" t="s">
        <v>80</v>
      </c>
      <c r="K20" t="s">
        <v>79</v>
      </c>
      <c r="L20" t="s">
        <v>119</v>
      </c>
    </row>
    <row r="21" spans="1:12" x14ac:dyDescent="0.2">
      <c r="B21" s="1"/>
      <c r="E21" s="1"/>
      <c r="I21" s="4">
        <v>0.89</v>
      </c>
      <c r="J21" s="4">
        <v>0.84</v>
      </c>
      <c r="K21" s="4">
        <v>0.71</v>
      </c>
      <c r="L21" s="4">
        <v>0.81</v>
      </c>
    </row>
    <row r="24" spans="1:12" x14ac:dyDescent="0.2">
      <c r="B24" s="1"/>
      <c r="E24" s="1"/>
    </row>
    <row r="27" spans="1:12" x14ac:dyDescent="0.2">
      <c r="B27" s="1"/>
      <c r="E27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3D4DB-9F23-F54B-BF74-4446F464D553}">
  <dimension ref="A1:AH29"/>
  <sheetViews>
    <sheetView workbookViewId="0">
      <selection activeCell="A9" sqref="A9"/>
    </sheetView>
  </sheetViews>
  <sheetFormatPr baseColWidth="10" defaultRowHeight="16" x14ac:dyDescent="0.2"/>
  <cols>
    <col min="1" max="1" width="24.6640625" customWidth="1"/>
  </cols>
  <sheetData>
    <row r="1" spans="1:34" x14ac:dyDescent="0.2">
      <c r="A1" s="14" t="s">
        <v>183</v>
      </c>
    </row>
    <row r="2" spans="1:34" x14ac:dyDescent="0.2">
      <c r="A2" t="s">
        <v>8</v>
      </c>
      <c r="F2" t="s">
        <v>9</v>
      </c>
      <c r="K2" t="s">
        <v>10</v>
      </c>
      <c r="U2" t="s">
        <v>12</v>
      </c>
      <c r="Z2" t="s">
        <v>82</v>
      </c>
      <c r="AE2" t="s">
        <v>14</v>
      </c>
    </row>
    <row r="3" spans="1:34" x14ac:dyDescent="0.2">
      <c r="A3" t="s">
        <v>0</v>
      </c>
      <c r="B3" t="s">
        <v>1</v>
      </c>
      <c r="C3" t="s">
        <v>2</v>
      </c>
      <c r="D3" t="s">
        <v>3</v>
      </c>
      <c r="F3" t="s">
        <v>5</v>
      </c>
      <c r="G3" t="s">
        <v>1</v>
      </c>
      <c r="H3" t="s">
        <v>2</v>
      </c>
      <c r="I3" t="s">
        <v>3</v>
      </c>
      <c r="K3" t="s">
        <v>6</v>
      </c>
      <c r="L3" t="s">
        <v>1</v>
      </c>
      <c r="M3" t="s">
        <v>2</v>
      </c>
      <c r="N3" t="s">
        <v>3</v>
      </c>
      <c r="P3" t="s">
        <v>7</v>
      </c>
      <c r="Q3" t="s">
        <v>1</v>
      </c>
      <c r="R3" t="s">
        <v>2</v>
      </c>
      <c r="S3" t="s">
        <v>3</v>
      </c>
      <c r="U3" t="s">
        <v>11</v>
      </c>
      <c r="V3" t="s">
        <v>1</v>
      </c>
      <c r="W3" t="s">
        <v>2</v>
      </c>
      <c r="X3" t="s">
        <v>3</v>
      </c>
      <c r="Z3" t="s">
        <v>81</v>
      </c>
      <c r="AA3" t="s">
        <v>1</v>
      </c>
      <c r="AB3" t="s">
        <v>2</v>
      </c>
      <c r="AC3" t="s">
        <v>3</v>
      </c>
      <c r="AE3" t="s">
        <v>13</v>
      </c>
      <c r="AF3" t="s">
        <v>1</v>
      </c>
      <c r="AG3" t="s">
        <v>2</v>
      </c>
      <c r="AH3" t="s">
        <v>3</v>
      </c>
    </row>
    <row r="5" spans="1:34" x14ac:dyDescent="0.2">
      <c r="A5">
        <v>0</v>
      </c>
      <c r="B5" s="1">
        <v>1704</v>
      </c>
      <c r="C5">
        <v>17.23</v>
      </c>
      <c r="D5">
        <v>17.23</v>
      </c>
      <c r="F5">
        <v>0</v>
      </c>
      <c r="G5" s="1">
        <v>7124</v>
      </c>
      <c r="H5">
        <v>72.03</v>
      </c>
      <c r="I5">
        <v>72.03</v>
      </c>
      <c r="K5">
        <v>0</v>
      </c>
      <c r="L5" s="1">
        <v>8759</v>
      </c>
      <c r="M5">
        <v>88.56</v>
      </c>
      <c r="N5">
        <v>88.56</v>
      </c>
      <c r="P5">
        <v>0</v>
      </c>
      <c r="Q5" s="1">
        <v>9213</v>
      </c>
      <c r="R5">
        <v>93.15</v>
      </c>
      <c r="S5">
        <v>93.15</v>
      </c>
      <c r="U5">
        <v>0</v>
      </c>
      <c r="V5" s="1">
        <v>9326</v>
      </c>
      <c r="W5">
        <v>94.29</v>
      </c>
      <c r="X5">
        <v>94.29</v>
      </c>
      <c r="Z5">
        <v>0</v>
      </c>
      <c r="AA5" s="1">
        <v>9273</v>
      </c>
      <c r="AB5">
        <v>93.75</v>
      </c>
      <c r="AC5">
        <v>93.75</v>
      </c>
      <c r="AE5">
        <v>0</v>
      </c>
      <c r="AF5" s="1">
        <v>7875</v>
      </c>
      <c r="AG5">
        <v>79.62</v>
      </c>
      <c r="AH5">
        <v>79.62</v>
      </c>
    </row>
    <row r="6" spans="1:34" x14ac:dyDescent="0.2">
      <c r="A6">
        <v>1</v>
      </c>
      <c r="B6" s="1">
        <v>8187</v>
      </c>
      <c r="C6">
        <v>82.77</v>
      </c>
      <c r="D6">
        <v>100</v>
      </c>
      <c r="F6">
        <v>1</v>
      </c>
      <c r="G6" s="1">
        <v>2767</v>
      </c>
      <c r="H6">
        <v>27.97</v>
      </c>
      <c r="I6">
        <v>100</v>
      </c>
      <c r="K6">
        <v>1</v>
      </c>
      <c r="L6" s="1">
        <v>1132</v>
      </c>
      <c r="M6">
        <v>11.44</v>
      </c>
      <c r="N6">
        <v>100</v>
      </c>
      <c r="P6">
        <v>1</v>
      </c>
      <c r="Q6">
        <v>678</v>
      </c>
      <c r="R6">
        <v>6.85</v>
      </c>
      <c r="S6">
        <v>100</v>
      </c>
      <c r="U6">
        <v>1</v>
      </c>
      <c r="V6">
        <v>565</v>
      </c>
      <c r="W6">
        <v>5.71</v>
      </c>
      <c r="X6">
        <v>100</v>
      </c>
      <c r="Z6">
        <v>1</v>
      </c>
      <c r="AA6">
        <v>618</v>
      </c>
      <c r="AB6">
        <v>6.25</v>
      </c>
      <c r="AC6">
        <v>100</v>
      </c>
      <c r="AE6">
        <v>1</v>
      </c>
      <c r="AF6" s="1">
        <v>2016</v>
      </c>
      <c r="AG6">
        <v>20.38</v>
      </c>
      <c r="AH6">
        <v>100</v>
      </c>
    </row>
    <row r="7" spans="1:34" x14ac:dyDescent="0.2">
      <c r="B7" s="1"/>
      <c r="G7" s="1"/>
      <c r="L7" s="1"/>
      <c r="Q7" s="1"/>
      <c r="V7" s="1"/>
      <c r="AA7" s="1"/>
      <c r="AF7" s="1"/>
    </row>
    <row r="8" spans="1:34" x14ac:dyDescent="0.2">
      <c r="A8" t="s">
        <v>4</v>
      </c>
      <c r="B8" s="1">
        <v>9891</v>
      </c>
      <c r="C8">
        <v>100</v>
      </c>
      <c r="F8" t="s">
        <v>4</v>
      </c>
      <c r="G8" s="1">
        <v>9891</v>
      </c>
      <c r="H8">
        <v>100</v>
      </c>
      <c r="K8" t="s">
        <v>4</v>
      </c>
      <c r="L8" s="1">
        <v>9891</v>
      </c>
      <c r="M8">
        <v>100</v>
      </c>
      <c r="P8" t="s">
        <v>4</v>
      </c>
      <c r="Q8" s="1">
        <v>9891</v>
      </c>
      <c r="R8">
        <v>100</v>
      </c>
      <c r="U8" t="s">
        <v>4</v>
      </c>
      <c r="V8" s="1">
        <v>9891</v>
      </c>
      <c r="W8">
        <v>100</v>
      </c>
      <c r="Z8" t="s">
        <v>4</v>
      </c>
      <c r="AA8" s="1">
        <v>9891</v>
      </c>
      <c r="AB8">
        <v>100</v>
      </c>
      <c r="AE8" t="s">
        <v>4</v>
      </c>
      <c r="AF8" s="1">
        <v>9891</v>
      </c>
      <c r="AG8">
        <v>100</v>
      </c>
    </row>
    <row r="9" spans="1:34" x14ac:dyDescent="0.2">
      <c r="B9" s="1"/>
      <c r="G9" s="1"/>
      <c r="L9" s="1"/>
      <c r="Q9" s="1"/>
      <c r="V9" s="1"/>
      <c r="AA9" s="1"/>
      <c r="AF9" s="1"/>
    </row>
    <row r="13" spans="1:34" x14ac:dyDescent="0.2">
      <c r="A13" t="s">
        <v>8</v>
      </c>
      <c r="B13" s="1">
        <v>8187</v>
      </c>
      <c r="C13">
        <v>82.77</v>
      </c>
    </row>
    <row r="14" spans="1:34" x14ac:dyDescent="0.2">
      <c r="A14" t="s">
        <v>15</v>
      </c>
      <c r="B14" s="1">
        <v>2767</v>
      </c>
      <c r="C14">
        <v>27.97</v>
      </c>
    </row>
    <row r="15" spans="1:34" x14ac:dyDescent="0.2">
      <c r="A15" t="s">
        <v>16</v>
      </c>
      <c r="B15" s="1">
        <v>1132</v>
      </c>
      <c r="C15">
        <v>11.44</v>
      </c>
    </row>
    <row r="16" spans="1:34" x14ac:dyDescent="0.2">
      <c r="A16" t="s">
        <v>17</v>
      </c>
      <c r="B16">
        <v>678</v>
      </c>
      <c r="C16">
        <v>6.85</v>
      </c>
    </row>
    <row r="17" spans="1:4" x14ac:dyDescent="0.2">
      <c r="A17" t="s">
        <v>12</v>
      </c>
      <c r="B17">
        <v>565</v>
      </c>
      <c r="C17">
        <v>5.71</v>
      </c>
    </row>
    <row r="18" spans="1:4" x14ac:dyDescent="0.2">
      <c r="A18" t="s">
        <v>18</v>
      </c>
      <c r="B18">
        <v>618</v>
      </c>
      <c r="C18">
        <v>6.25</v>
      </c>
    </row>
    <row r="19" spans="1:4" x14ac:dyDescent="0.2">
      <c r="A19" t="s">
        <v>19</v>
      </c>
      <c r="B19" s="1">
        <v>2016</v>
      </c>
      <c r="C19">
        <v>20.38</v>
      </c>
    </row>
    <row r="22" spans="1:4" x14ac:dyDescent="0.2">
      <c r="B22" t="s">
        <v>22</v>
      </c>
    </row>
    <row r="23" spans="1:4" x14ac:dyDescent="0.2">
      <c r="A23" t="s">
        <v>8</v>
      </c>
      <c r="B23" s="4">
        <v>0.83</v>
      </c>
    </row>
    <row r="24" spans="1:4" x14ac:dyDescent="0.2">
      <c r="A24" t="s">
        <v>15</v>
      </c>
      <c r="B24" s="4">
        <v>0.28000000000000003</v>
      </c>
      <c r="D24" s="8"/>
    </row>
    <row r="25" spans="1:4" x14ac:dyDescent="0.2">
      <c r="A25" t="s">
        <v>19</v>
      </c>
      <c r="B25" s="4">
        <v>0.2</v>
      </c>
    </row>
    <row r="26" spans="1:4" x14ac:dyDescent="0.2">
      <c r="A26" t="s">
        <v>16</v>
      </c>
      <c r="B26" s="4">
        <v>0.11</v>
      </c>
    </row>
    <row r="27" spans="1:4" x14ac:dyDescent="0.2">
      <c r="A27" t="s">
        <v>21</v>
      </c>
      <c r="B27" s="4">
        <v>7.0000000000000007E-2</v>
      </c>
    </row>
    <row r="28" spans="1:4" x14ac:dyDescent="0.2">
      <c r="A28" t="s">
        <v>18</v>
      </c>
      <c r="B28" s="4">
        <v>0.06</v>
      </c>
    </row>
    <row r="29" spans="1:4" x14ac:dyDescent="0.2">
      <c r="A29" t="s">
        <v>17</v>
      </c>
      <c r="B29" s="4">
        <v>0.06</v>
      </c>
    </row>
  </sheetData>
  <sortState xmlns:xlrd2="http://schemas.microsoft.com/office/spreadsheetml/2017/richdata2" ref="A23:B30">
    <sortCondition descending="1" ref="B25:B30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04D6E-E4BD-6846-A68A-BCB81E91A613}">
  <dimension ref="A1:AM80"/>
  <sheetViews>
    <sheetView workbookViewId="0">
      <selection activeCell="A2" sqref="A2"/>
    </sheetView>
  </sheetViews>
  <sheetFormatPr baseColWidth="10" defaultRowHeight="16" x14ac:dyDescent="0.2"/>
  <cols>
    <col min="1" max="1" width="24.33203125" customWidth="1"/>
    <col min="6" max="6" width="14.5" customWidth="1"/>
  </cols>
  <sheetData>
    <row r="1" spans="1:39" x14ac:dyDescent="0.2">
      <c r="A1" s="14" t="s">
        <v>185</v>
      </c>
    </row>
    <row r="2" spans="1:39" x14ac:dyDescent="0.2">
      <c r="A2" t="s">
        <v>24</v>
      </c>
    </row>
    <row r="3" spans="1:39" x14ac:dyDescent="0.2">
      <c r="F3" t="s">
        <v>26</v>
      </c>
      <c r="K3" t="s">
        <v>28</v>
      </c>
      <c r="U3" t="s">
        <v>30</v>
      </c>
      <c r="Z3" t="s">
        <v>32</v>
      </c>
    </row>
    <row r="4" spans="1:39" x14ac:dyDescent="0.2">
      <c r="A4" t="s">
        <v>23</v>
      </c>
      <c r="B4" t="s">
        <v>1</v>
      </c>
      <c r="C4" t="s">
        <v>2</v>
      </c>
      <c r="D4" t="s">
        <v>3</v>
      </c>
      <c r="F4" t="s">
        <v>25</v>
      </c>
      <c r="G4" t="s">
        <v>1</v>
      </c>
      <c r="H4" t="s">
        <v>2</v>
      </c>
      <c r="I4" t="s">
        <v>3</v>
      </c>
      <c r="K4" t="s">
        <v>27</v>
      </c>
      <c r="L4" t="s">
        <v>1</v>
      </c>
      <c r="M4" t="s">
        <v>2</v>
      </c>
      <c r="N4" t="s">
        <v>3</v>
      </c>
      <c r="P4" t="s">
        <v>29</v>
      </c>
      <c r="Q4" t="s">
        <v>1</v>
      </c>
      <c r="R4" t="s">
        <v>2</v>
      </c>
      <c r="S4" t="s">
        <v>3</v>
      </c>
      <c r="U4" t="s">
        <v>23</v>
      </c>
      <c r="V4" t="s">
        <v>1</v>
      </c>
      <c r="W4" t="s">
        <v>2</v>
      </c>
      <c r="X4" t="s">
        <v>3</v>
      </c>
      <c r="Z4" t="s">
        <v>31</v>
      </c>
      <c r="AA4" t="s">
        <v>1</v>
      </c>
      <c r="AB4" t="s">
        <v>2</v>
      </c>
      <c r="AC4" t="s">
        <v>3</v>
      </c>
      <c r="AE4" t="s">
        <v>33</v>
      </c>
      <c r="AF4" t="s">
        <v>1</v>
      </c>
      <c r="AG4" t="s">
        <v>2</v>
      </c>
      <c r="AH4" t="s">
        <v>3</v>
      </c>
      <c r="AJ4" t="s">
        <v>34</v>
      </c>
      <c r="AK4" t="s">
        <v>1</v>
      </c>
      <c r="AL4" t="s">
        <v>2</v>
      </c>
      <c r="AM4" t="s">
        <v>3</v>
      </c>
    </row>
    <row r="6" spans="1:39" x14ac:dyDescent="0.2">
      <c r="A6">
        <v>0</v>
      </c>
      <c r="B6" s="1">
        <v>9135</v>
      </c>
      <c r="C6">
        <v>94.14</v>
      </c>
      <c r="D6">
        <v>94.14</v>
      </c>
      <c r="F6">
        <v>0</v>
      </c>
      <c r="G6" s="1">
        <v>5380</v>
      </c>
      <c r="H6">
        <v>55.44</v>
      </c>
      <c r="I6">
        <v>55.44</v>
      </c>
      <c r="K6">
        <v>0</v>
      </c>
      <c r="L6" s="1">
        <v>8350</v>
      </c>
      <c r="M6">
        <v>86.05</v>
      </c>
      <c r="N6">
        <v>86.05</v>
      </c>
      <c r="P6">
        <v>0</v>
      </c>
      <c r="Q6" s="1">
        <v>8774</v>
      </c>
      <c r="R6">
        <v>90.42</v>
      </c>
      <c r="S6">
        <v>90.42</v>
      </c>
      <c r="U6">
        <v>0</v>
      </c>
      <c r="V6" s="1">
        <v>6834</v>
      </c>
      <c r="W6">
        <v>70.42</v>
      </c>
      <c r="X6">
        <v>70.42</v>
      </c>
      <c r="Z6">
        <v>0</v>
      </c>
      <c r="AA6" s="1">
        <v>8691</v>
      </c>
      <c r="AB6">
        <v>89.56</v>
      </c>
      <c r="AC6">
        <v>89.56</v>
      </c>
      <c r="AE6">
        <v>0</v>
      </c>
      <c r="AF6" s="1">
        <v>4951</v>
      </c>
      <c r="AG6">
        <v>51.02</v>
      </c>
      <c r="AH6">
        <v>51.02</v>
      </c>
      <c r="AJ6">
        <v>0</v>
      </c>
      <c r="AK6" s="1">
        <v>7541</v>
      </c>
      <c r="AL6">
        <v>77.709999999999994</v>
      </c>
      <c r="AM6">
        <v>77.709999999999994</v>
      </c>
    </row>
    <row r="7" spans="1:39" x14ac:dyDescent="0.2">
      <c r="A7">
        <v>1</v>
      </c>
      <c r="B7">
        <v>569</v>
      </c>
      <c r="C7">
        <v>5.86</v>
      </c>
      <c r="D7">
        <v>100</v>
      </c>
      <c r="F7">
        <v>1</v>
      </c>
      <c r="G7" s="1">
        <v>4324</v>
      </c>
      <c r="H7">
        <v>44.56</v>
      </c>
      <c r="I7">
        <v>100</v>
      </c>
      <c r="K7">
        <v>1</v>
      </c>
      <c r="L7" s="1">
        <v>1354</v>
      </c>
      <c r="M7">
        <v>13.95</v>
      </c>
      <c r="N7">
        <v>100</v>
      </c>
      <c r="P7">
        <v>1</v>
      </c>
      <c r="Q7" s="1">
        <v>930</v>
      </c>
      <c r="R7">
        <v>9.58</v>
      </c>
      <c r="S7">
        <v>100</v>
      </c>
      <c r="U7">
        <v>1</v>
      </c>
      <c r="V7" s="1">
        <v>2870</v>
      </c>
      <c r="W7">
        <v>29.58</v>
      </c>
      <c r="X7">
        <v>100</v>
      </c>
      <c r="Z7">
        <v>1</v>
      </c>
      <c r="AA7" s="1">
        <v>1013</v>
      </c>
      <c r="AB7">
        <v>10.44</v>
      </c>
      <c r="AC7">
        <v>100</v>
      </c>
      <c r="AE7">
        <v>1</v>
      </c>
      <c r="AF7" s="1">
        <v>4753</v>
      </c>
      <c r="AG7">
        <v>48.98</v>
      </c>
      <c r="AH7">
        <v>100</v>
      </c>
      <c r="AJ7">
        <v>1</v>
      </c>
      <c r="AK7" s="1">
        <v>2163</v>
      </c>
      <c r="AL7">
        <v>22.29</v>
      </c>
      <c r="AM7">
        <v>100</v>
      </c>
    </row>
    <row r="8" spans="1:39" x14ac:dyDescent="0.2">
      <c r="B8" s="1"/>
      <c r="G8" s="1"/>
      <c r="L8" s="1"/>
      <c r="Q8" s="1"/>
      <c r="V8" s="1"/>
      <c r="AA8" s="1"/>
      <c r="AF8" s="1"/>
      <c r="AK8" s="1"/>
    </row>
    <row r="9" spans="1:39" x14ac:dyDescent="0.2">
      <c r="A9" t="s">
        <v>4</v>
      </c>
      <c r="B9" s="1">
        <v>9704</v>
      </c>
      <c r="C9">
        <v>100</v>
      </c>
      <c r="F9" t="s">
        <v>4</v>
      </c>
      <c r="G9" s="1">
        <v>9704</v>
      </c>
      <c r="H9">
        <v>100</v>
      </c>
      <c r="K9" t="s">
        <v>4</v>
      </c>
      <c r="L9" s="1">
        <v>9704</v>
      </c>
      <c r="M9">
        <v>100</v>
      </c>
      <c r="P9" t="s">
        <v>4</v>
      </c>
      <c r="Q9" s="1">
        <v>9704</v>
      </c>
      <c r="R9">
        <v>100</v>
      </c>
      <c r="U9" t="s">
        <v>4</v>
      </c>
      <c r="V9" s="1">
        <v>9704</v>
      </c>
      <c r="W9">
        <v>100</v>
      </c>
      <c r="Z9" t="s">
        <v>4</v>
      </c>
      <c r="AA9" s="1">
        <v>9704</v>
      </c>
      <c r="AB9">
        <v>100</v>
      </c>
      <c r="AE9" t="s">
        <v>4</v>
      </c>
      <c r="AF9" s="1">
        <v>9704</v>
      </c>
      <c r="AG9">
        <v>100</v>
      </c>
      <c r="AJ9" t="s">
        <v>4</v>
      </c>
      <c r="AK9" s="1">
        <v>9704</v>
      </c>
      <c r="AL9">
        <v>100</v>
      </c>
    </row>
    <row r="10" spans="1:39" x14ac:dyDescent="0.2">
      <c r="B10" s="1"/>
      <c r="G10" s="1"/>
      <c r="L10" s="1"/>
      <c r="Q10" s="1"/>
      <c r="V10" s="1"/>
      <c r="AA10" s="1"/>
      <c r="AF10" s="1"/>
      <c r="AK10" s="1"/>
    </row>
    <row r="14" spans="1:39" x14ac:dyDescent="0.2">
      <c r="B14" t="s">
        <v>39</v>
      </c>
    </row>
    <row r="15" spans="1:39" x14ac:dyDescent="0.2">
      <c r="A15" t="s">
        <v>38</v>
      </c>
      <c r="B15" s="4">
        <v>0.49</v>
      </c>
      <c r="C15" s="1">
        <v>4753</v>
      </c>
      <c r="E15">
        <f t="shared" ref="E15:E22" si="0">B15/100</f>
        <v>4.8999999999999998E-3</v>
      </c>
    </row>
    <row r="16" spans="1:39" x14ac:dyDescent="0.2">
      <c r="A16" t="s">
        <v>35</v>
      </c>
      <c r="B16" s="4">
        <v>0.45</v>
      </c>
      <c r="C16" s="1">
        <v>4324</v>
      </c>
      <c r="E16">
        <f t="shared" si="0"/>
        <v>4.5000000000000005E-3</v>
      </c>
    </row>
    <row r="17" spans="1:6" x14ac:dyDescent="0.2">
      <c r="A17" t="s">
        <v>57</v>
      </c>
      <c r="B17" s="4">
        <v>0.3</v>
      </c>
      <c r="C17" s="1">
        <v>2870</v>
      </c>
      <c r="E17">
        <f t="shared" si="0"/>
        <v>3.0000000000000001E-3</v>
      </c>
    </row>
    <row r="18" spans="1:6" x14ac:dyDescent="0.2">
      <c r="A18" t="s">
        <v>173</v>
      </c>
      <c r="B18" s="4">
        <v>0.22</v>
      </c>
      <c r="C18" s="1">
        <v>2163</v>
      </c>
      <c r="E18">
        <f t="shared" si="0"/>
        <v>2.2000000000000001E-3</v>
      </c>
    </row>
    <row r="19" spans="1:6" x14ac:dyDescent="0.2">
      <c r="A19" t="s">
        <v>36</v>
      </c>
      <c r="B19" s="4">
        <v>0.14000000000000001</v>
      </c>
      <c r="C19" s="1">
        <v>1354</v>
      </c>
      <c r="E19">
        <f t="shared" si="0"/>
        <v>1.4000000000000002E-3</v>
      </c>
    </row>
    <row r="20" spans="1:6" x14ac:dyDescent="0.2">
      <c r="A20" t="s">
        <v>32</v>
      </c>
      <c r="B20" s="4">
        <v>0.1</v>
      </c>
      <c r="C20" s="1">
        <v>1013</v>
      </c>
      <c r="E20">
        <f t="shared" si="0"/>
        <v>1E-3</v>
      </c>
    </row>
    <row r="21" spans="1:6" x14ac:dyDescent="0.2">
      <c r="A21" t="s">
        <v>37</v>
      </c>
      <c r="B21" s="4">
        <v>0.1</v>
      </c>
      <c r="C21">
        <v>930</v>
      </c>
      <c r="E21">
        <f t="shared" si="0"/>
        <v>1E-3</v>
      </c>
    </row>
    <row r="22" spans="1:6" x14ac:dyDescent="0.2">
      <c r="A22" t="s">
        <v>24</v>
      </c>
      <c r="B22" s="4">
        <v>0.06</v>
      </c>
      <c r="C22">
        <v>569</v>
      </c>
      <c r="E22">
        <f t="shared" si="0"/>
        <v>5.9999999999999995E-4</v>
      </c>
    </row>
    <row r="26" spans="1:6" x14ac:dyDescent="0.2">
      <c r="A26" t="s">
        <v>38</v>
      </c>
      <c r="B26" s="1">
        <v>4753</v>
      </c>
      <c r="C26" s="7">
        <v>48.98</v>
      </c>
      <c r="D26" s="4">
        <v>0.49</v>
      </c>
    </row>
    <row r="27" spans="1:6" x14ac:dyDescent="0.2">
      <c r="A27" t="s">
        <v>35</v>
      </c>
      <c r="B27" s="1">
        <v>4324</v>
      </c>
      <c r="C27" s="7">
        <v>44.56</v>
      </c>
      <c r="D27" s="4">
        <v>0.45</v>
      </c>
    </row>
    <row r="28" spans="1:6" x14ac:dyDescent="0.2">
      <c r="A28" t="s">
        <v>57</v>
      </c>
      <c r="B28" s="1">
        <v>2870</v>
      </c>
      <c r="C28" s="7">
        <v>29.58</v>
      </c>
      <c r="D28" s="4">
        <v>0.3</v>
      </c>
    </row>
    <row r="29" spans="1:6" x14ac:dyDescent="0.2">
      <c r="A29" t="s">
        <v>37</v>
      </c>
      <c r="B29" s="1">
        <v>2163</v>
      </c>
      <c r="C29" s="7">
        <v>22.29</v>
      </c>
      <c r="D29" s="4">
        <v>0.22</v>
      </c>
    </row>
    <row r="30" spans="1:6" x14ac:dyDescent="0.2">
      <c r="A30" t="s">
        <v>36</v>
      </c>
      <c r="B30" s="1">
        <v>1354</v>
      </c>
      <c r="C30" s="7">
        <v>13.95</v>
      </c>
      <c r="D30" s="4">
        <v>0.14000000000000001</v>
      </c>
    </row>
    <row r="31" spans="1:6" x14ac:dyDescent="0.2">
      <c r="A31" t="s">
        <v>32</v>
      </c>
      <c r="B31" s="1">
        <v>1013</v>
      </c>
      <c r="C31" s="7">
        <v>10.44</v>
      </c>
      <c r="D31" s="4">
        <v>0.1</v>
      </c>
      <c r="F31" s="8"/>
    </row>
    <row r="32" spans="1:6" x14ac:dyDescent="0.2">
      <c r="A32" t="s">
        <v>37</v>
      </c>
      <c r="B32" s="1">
        <v>930</v>
      </c>
      <c r="C32" s="7">
        <v>9.58</v>
      </c>
      <c r="D32" s="4">
        <v>0.1</v>
      </c>
    </row>
    <row r="33" spans="1:4" x14ac:dyDescent="0.2">
      <c r="A33" t="s">
        <v>24</v>
      </c>
      <c r="B33">
        <v>569</v>
      </c>
      <c r="C33" s="7">
        <v>5.86</v>
      </c>
      <c r="D33" s="4">
        <v>0.06</v>
      </c>
    </row>
    <row r="73" spans="2:13" x14ac:dyDescent="0.2">
      <c r="C73" s="1"/>
      <c r="D73" s="1"/>
    </row>
    <row r="74" spans="2:13" x14ac:dyDescent="0.2">
      <c r="K74" s="1"/>
      <c r="M74" s="1"/>
    </row>
    <row r="76" spans="2:13" x14ac:dyDescent="0.2">
      <c r="D76" s="1"/>
    </row>
    <row r="77" spans="2:13" x14ac:dyDescent="0.2">
      <c r="M77" s="1"/>
    </row>
    <row r="79" spans="2:13" x14ac:dyDescent="0.2">
      <c r="B79" s="1"/>
      <c r="C79" s="1"/>
      <c r="D79" s="1"/>
    </row>
    <row r="80" spans="2:13" x14ac:dyDescent="0.2">
      <c r="K80" s="1"/>
      <c r="L80" s="1"/>
      <c r="M80" s="1"/>
    </row>
  </sheetData>
  <sortState xmlns:xlrd2="http://schemas.microsoft.com/office/spreadsheetml/2017/richdata2" ref="A26:C33">
    <sortCondition descending="1" ref="C28:C33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D63D-EF55-104D-B5CB-9954FF96FEA4}">
  <dimension ref="A1:U43"/>
  <sheetViews>
    <sheetView workbookViewId="0">
      <selection activeCell="B22" sqref="B22"/>
    </sheetView>
  </sheetViews>
  <sheetFormatPr baseColWidth="10" defaultRowHeight="16" x14ac:dyDescent="0.2"/>
  <cols>
    <col min="18" max="18" width="14" customWidth="1"/>
  </cols>
  <sheetData>
    <row r="1" spans="1:21" x14ac:dyDescent="0.2">
      <c r="A1" s="14" t="s">
        <v>186</v>
      </c>
    </row>
    <row r="2" spans="1:21" x14ac:dyDescent="0.2">
      <c r="A2" t="s">
        <v>118</v>
      </c>
    </row>
    <row r="3" spans="1:21" x14ac:dyDescent="0.2">
      <c r="B3" t="s">
        <v>38</v>
      </c>
      <c r="H3" t="s">
        <v>54</v>
      </c>
      <c r="N3" t="s">
        <v>55</v>
      </c>
    </row>
    <row r="4" spans="1:21" x14ac:dyDescent="0.2">
      <c r="B4" t="s">
        <v>83</v>
      </c>
      <c r="C4">
        <v>0</v>
      </c>
      <c r="D4">
        <v>1</v>
      </c>
      <c r="E4" t="s">
        <v>4</v>
      </c>
      <c r="H4" t="s">
        <v>83</v>
      </c>
      <c r="I4">
        <v>0</v>
      </c>
      <c r="J4">
        <v>1</v>
      </c>
      <c r="K4" t="s">
        <v>4</v>
      </c>
      <c r="M4" t="s">
        <v>83</v>
      </c>
      <c r="N4">
        <v>0</v>
      </c>
      <c r="O4">
        <v>1</v>
      </c>
      <c r="P4" t="s">
        <v>4</v>
      </c>
    </row>
    <row r="6" spans="1:21" x14ac:dyDescent="0.2">
      <c r="B6" s="1" t="s">
        <v>75</v>
      </c>
      <c r="C6" s="1">
        <v>2179</v>
      </c>
      <c r="D6" s="1">
        <v>909</v>
      </c>
      <c r="E6" s="1">
        <v>3088</v>
      </c>
      <c r="F6" s="1"/>
      <c r="H6" s="1" t="s">
        <v>75</v>
      </c>
      <c r="I6" s="1">
        <v>1435</v>
      </c>
      <c r="J6" s="1">
        <v>1653</v>
      </c>
      <c r="K6" s="1">
        <v>3088</v>
      </c>
      <c r="L6" s="1"/>
      <c r="M6" t="s">
        <v>75</v>
      </c>
      <c r="N6" s="1">
        <v>2025</v>
      </c>
      <c r="O6" s="1">
        <v>1063</v>
      </c>
      <c r="P6" s="1">
        <v>3088</v>
      </c>
    </row>
    <row r="7" spans="1:21" x14ac:dyDescent="0.2">
      <c r="C7">
        <v>70.56</v>
      </c>
      <c r="D7">
        <v>29.44</v>
      </c>
      <c r="E7">
        <v>100</v>
      </c>
      <c r="I7">
        <v>46.47</v>
      </c>
      <c r="J7">
        <v>53.53</v>
      </c>
      <c r="K7">
        <v>100</v>
      </c>
      <c r="N7">
        <v>65.58</v>
      </c>
      <c r="O7">
        <v>34.42</v>
      </c>
      <c r="P7">
        <v>100</v>
      </c>
    </row>
    <row r="9" spans="1:21" x14ac:dyDescent="0.2">
      <c r="A9" s="3"/>
      <c r="B9" s="1" t="s">
        <v>80</v>
      </c>
      <c r="C9" s="1">
        <v>1125</v>
      </c>
      <c r="D9" s="1">
        <v>921</v>
      </c>
      <c r="E9" s="1">
        <v>2046</v>
      </c>
      <c r="F9" s="1"/>
      <c r="G9" s="3"/>
      <c r="H9" s="1" t="s">
        <v>80</v>
      </c>
      <c r="I9" s="1">
        <v>1064</v>
      </c>
      <c r="J9" s="1">
        <v>982</v>
      </c>
      <c r="K9" s="1">
        <v>2046</v>
      </c>
      <c r="L9" s="1"/>
      <c r="M9" s="3" t="s">
        <v>80</v>
      </c>
      <c r="N9" s="1">
        <v>1370</v>
      </c>
      <c r="O9">
        <v>676</v>
      </c>
      <c r="P9" s="1">
        <v>2046</v>
      </c>
    </row>
    <row r="10" spans="1:21" x14ac:dyDescent="0.2">
      <c r="A10" s="3"/>
      <c r="B10" s="1"/>
      <c r="C10">
        <v>54.99</v>
      </c>
      <c r="D10" s="1">
        <v>45.01</v>
      </c>
      <c r="E10">
        <v>100</v>
      </c>
      <c r="G10" s="3"/>
      <c r="H10" s="1"/>
      <c r="I10">
        <v>52</v>
      </c>
      <c r="J10" s="1">
        <v>48</v>
      </c>
      <c r="K10">
        <v>100</v>
      </c>
      <c r="M10" s="3"/>
      <c r="N10" s="1">
        <v>66.959999999999994</v>
      </c>
      <c r="O10">
        <v>33.04</v>
      </c>
      <c r="P10" s="1">
        <v>100</v>
      </c>
      <c r="S10" t="s">
        <v>38</v>
      </c>
      <c r="T10" t="s">
        <v>35</v>
      </c>
      <c r="U10" t="s">
        <v>56</v>
      </c>
    </row>
    <row r="11" spans="1:21" x14ac:dyDescent="0.2">
      <c r="B11" s="1"/>
      <c r="D11" s="1"/>
      <c r="N11" s="1"/>
      <c r="O11" s="1"/>
      <c r="P11" s="1"/>
      <c r="R11" t="s">
        <v>75</v>
      </c>
      <c r="S11" s="4">
        <v>0.28999999999999998</v>
      </c>
      <c r="T11" s="4">
        <v>0.54</v>
      </c>
      <c r="U11" s="4">
        <v>0.34</v>
      </c>
    </row>
    <row r="12" spans="1:21" x14ac:dyDescent="0.2">
      <c r="B12" s="1" t="s">
        <v>84</v>
      </c>
      <c r="C12" s="1">
        <v>1007</v>
      </c>
      <c r="D12" s="1">
        <v>2511</v>
      </c>
      <c r="E12" s="1">
        <v>3518</v>
      </c>
      <c r="F12" s="1"/>
      <c r="H12" s="1" t="s">
        <v>84</v>
      </c>
      <c r="I12" s="1">
        <v>2310</v>
      </c>
      <c r="J12" s="1">
        <v>1208</v>
      </c>
      <c r="K12" s="1">
        <v>3518</v>
      </c>
      <c r="L12" s="1"/>
      <c r="M12" t="s">
        <v>84</v>
      </c>
      <c r="N12" s="1">
        <v>2670</v>
      </c>
      <c r="O12">
        <v>848</v>
      </c>
      <c r="P12" s="1">
        <v>3518</v>
      </c>
      <c r="R12" s="3" t="s">
        <v>86</v>
      </c>
      <c r="S12" s="4">
        <v>0.45</v>
      </c>
      <c r="T12" s="4">
        <v>0.48</v>
      </c>
      <c r="U12" s="4">
        <v>0.33</v>
      </c>
    </row>
    <row r="13" spans="1:21" x14ac:dyDescent="0.2">
      <c r="C13">
        <v>28.62</v>
      </c>
      <c r="D13">
        <v>71.38</v>
      </c>
      <c r="E13">
        <v>100</v>
      </c>
      <c r="I13">
        <v>65.66</v>
      </c>
      <c r="J13">
        <v>34.340000000000003</v>
      </c>
      <c r="K13">
        <v>100</v>
      </c>
      <c r="N13">
        <v>75.900000000000006</v>
      </c>
      <c r="O13">
        <v>24.1</v>
      </c>
      <c r="P13">
        <v>100</v>
      </c>
      <c r="R13" t="s">
        <v>84</v>
      </c>
      <c r="S13" s="4">
        <v>0.71</v>
      </c>
      <c r="T13" s="4">
        <v>0.34</v>
      </c>
      <c r="U13" s="4">
        <v>0.24</v>
      </c>
    </row>
    <row r="14" spans="1:21" x14ac:dyDescent="0.2">
      <c r="A14" s="3"/>
      <c r="B14" s="1"/>
      <c r="C14" s="1"/>
      <c r="D14" s="1"/>
      <c r="G14" s="3"/>
      <c r="H14" s="1"/>
      <c r="I14" s="1"/>
      <c r="J14" s="1"/>
      <c r="M14" s="3"/>
      <c r="N14" s="1"/>
      <c r="P14" s="1"/>
      <c r="S14" s="4"/>
      <c r="T14" s="4"/>
      <c r="U14" s="4"/>
    </row>
    <row r="15" spans="1:21" x14ac:dyDescent="0.2">
      <c r="B15" t="s">
        <v>40</v>
      </c>
      <c r="C15">
        <v>640</v>
      </c>
      <c r="D15" s="1">
        <v>412</v>
      </c>
      <c r="E15" s="1">
        <v>1052</v>
      </c>
      <c r="F15" s="1"/>
      <c r="H15" t="s">
        <v>40</v>
      </c>
      <c r="I15">
        <v>571</v>
      </c>
      <c r="J15" s="1">
        <v>481</v>
      </c>
      <c r="K15" s="1">
        <v>1052</v>
      </c>
      <c r="L15" s="1"/>
      <c r="M15" t="s">
        <v>40</v>
      </c>
      <c r="N15">
        <v>769</v>
      </c>
      <c r="O15">
        <v>283</v>
      </c>
      <c r="P15" s="1">
        <v>1052</v>
      </c>
    </row>
    <row r="16" spans="1:21" x14ac:dyDescent="0.2">
      <c r="C16">
        <v>60.84</v>
      </c>
      <c r="D16">
        <v>39.159999999999997</v>
      </c>
      <c r="E16">
        <v>100</v>
      </c>
      <c r="I16">
        <v>54.28</v>
      </c>
      <c r="J16">
        <v>45.72</v>
      </c>
      <c r="K16">
        <v>100</v>
      </c>
      <c r="N16">
        <v>73.099999999999994</v>
      </c>
      <c r="O16">
        <v>26.9</v>
      </c>
      <c r="P16">
        <v>100</v>
      </c>
    </row>
    <row r="18" spans="2:18" x14ac:dyDescent="0.2">
      <c r="B18" s="1" t="s">
        <v>4</v>
      </c>
      <c r="C18" s="1">
        <v>4951</v>
      </c>
      <c r="D18" s="1">
        <v>4753</v>
      </c>
      <c r="E18" s="1">
        <v>9704</v>
      </c>
      <c r="F18" s="1"/>
      <c r="H18" s="1" t="s">
        <v>4</v>
      </c>
      <c r="I18" s="1">
        <v>5380</v>
      </c>
      <c r="J18" s="1">
        <v>4324</v>
      </c>
      <c r="K18" s="1">
        <v>9704</v>
      </c>
      <c r="L18" s="1"/>
      <c r="M18" t="s">
        <v>4</v>
      </c>
      <c r="N18" s="1">
        <v>6834</v>
      </c>
      <c r="O18" s="1">
        <v>2870</v>
      </c>
      <c r="P18" s="1">
        <v>9704</v>
      </c>
    </row>
    <row r="19" spans="2:18" x14ac:dyDescent="0.2">
      <c r="C19">
        <v>51.02</v>
      </c>
      <c r="D19">
        <v>48.98</v>
      </c>
      <c r="E19">
        <v>100</v>
      </c>
      <c r="I19">
        <v>55.44</v>
      </c>
      <c r="J19">
        <v>44.56</v>
      </c>
      <c r="K19">
        <v>100</v>
      </c>
      <c r="N19">
        <v>70.42</v>
      </c>
      <c r="O19">
        <v>29.58</v>
      </c>
      <c r="P19">
        <v>100</v>
      </c>
    </row>
    <row r="22" spans="2:18" x14ac:dyDescent="0.2">
      <c r="B22" s="1"/>
      <c r="C22" s="1"/>
      <c r="D22" s="1"/>
      <c r="H22" s="1"/>
      <c r="I22" s="1"/>
      <c r="J22" s="1"/>
      <c r="N22" s="1"/>
      <c r="O22" s="1"/>
      <c r="P22" s="1"/>
    </row>
    <row r="23" spans="2:18" x14ac:dyDescent="0.2">
      <c r="C23" s="1"/>
      <c r="D23" s="1"/>
      <c r="N23" s="1"/>
      <c r="P23" t="s">
        <v>38</v>
      </c>
      <c r="Q23" t="s">
        <v>35</v>
      </c>
      <c r="R23" t="s">
        <v>56</v>
      </c>
    </row>
    <row r="24" spans="2:18" x14ac:dyDescent="0.2">
      <c r="O24" t="s">
        <v>85</v>
      </c>
      <c r="P24">
        <v>29.44</v>
      </c>
      <c r="Q24">
        <v>53.53</v>
      </c>
      <c r="R24">
        <v>34.42</v>
      </c>
    </row>
    <row r="25" spans="2:18" x14ac:dyDescent="0.2">
      <c r="O25" s="3" t="s">
        <v>86</v>
      </c>
      <c r="P25" s="1">
        <v>45.01</v>
      </c>
      <c r="Q25" s="1">
        <v>48</v>
      </c>
      <c r="R25">
        <v>33.04</v>
      </c>
    </row>
    <row r="26" spans="2:18" x14ac:dyDescent="0.2">
      <c r="D26" s="1"/>
      <c r="O26" t="s">
        <v>84</v>
      </c>
      <c r="P26">
        <v>71.38</v>
      </c>
      <c r="Q26">
        <v>34.340000000000003</v>
      </c>
      <c r="R26">
        <v>24.1</v>
      </c>
    </row>
    <row r="27" spans="2:18" x14ac:dyDescent="0.2">
      <c r="O27" t="s">
        <v>40</v>
      </c>
      <c r="P27">
        <v>39.159999999999997</v>
      </c>
      <c r="Q27">
        <v>45.72</v>
      </c>
      <c r="R27">
        <v>26.9</v>
      </c>
    </row>
    <row r="28" spans="2:18" x14ac:dyDescent="0.2">
      <c r="O28" t="s">
        <v>87</v>
      </c>
      <c r="P28">
        <v>48.98</v>
      </c>
      <c r="Q28">
        <v>44.56</v>
      </c>
      <c r="R28">
        <v>29.58</v>
      </c>
    </row>
    <row r="29" spans="2:18" x14ac:dyDescent="0.2">
      <c r="B29" s="1"/>
      <c r="C29" s="1"/>
      <c r="D29" s="1"/>
      <c r="N29" s="1"/>
      <c r="O29" s="1"/>
      <c r="P29" s="1"/>
    </row>
    <row r="32" spans="2:18" x14ac:dyDescent="0.2">
      <c r="E32" s="8"/>
    </row>
    <row r="33" spans="1:18" x14ac:dyDescent="0.2">
      <c r="P33" s="4"/>
      <c r="Q33" s="4"/>
      <c r="R33" s="4"/>
    </row>
    <row r="34" spans="1:18" x14ac:dyDescent="0.2">
      <c r="O34" s="3"/>
      <c r="P34" s="4"/>
      <c r="Q34" s="4"/>
      <c r="R34" s="4"/>
    </row>
    <row r="35" spans="1:18" x14ac:dyDescent="0.2">
      <c r="P35" s="4"/>
      <c r="Q35" s="4"/>
      <c r="R35" s="4"/>
    </row>
    <row r="39" spans="1:18" x14ac:dyDescent="0.2">
      <c r="B39" s="1"/>
      <c r="D39" s="1"/>
    </row>
    <row r="40" spans="1:18" x14ac:dyDescent="0.2">
      <c r="G40" s="3"/>
      <c r="M40" s="1"/>
      <c r="N40" s="1"/>
      <c r="O40" s="1"/>
    </row>
    <row r="42" spans="1:18" x14ac:dyDescent="0.2">
      <c r="A42" s="2"/>
      <c r="B42" s="1"/>
      <c r="D42" s="1"/>
    </row>
    <row r="43" spans="1:18" x14ac:dyDescent="0.2">
      <c r="K43" s="2"/>
      <c r="L43" s="2"/>
      <c r="M43" s="1"/>
      <c r="O43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07A4E-0A4F-A344-AF1E-8AF2E585DFB1}">
  <dimension ref="A1:N7"/>
  <sheetViews>
    <sheetView workbookViewId="0"/>
  </sheetViews>
  <sheetFormatPr baseColWidth="10" defaultRowHeight="16" x14ac:dyDescent="0.2"/>
  <sheetData>
    <row r="1" spans="1:14" x14ac:dyDescent="0.2">
      <c r="A1" s="14" t="s">
        <v>187</v>
      </c>
    </row>
    <row r="2" spans="1:14" x14ac:dyDescent="0.2">
      <c r="B2" s="11" t="s">
        <v>75</v>
      </c>
      <c r="C2" s="11"/>
      <c r="D2" s="11"/>
      <c r="G2" t="s">
        <v>86</v>
      </c>
      <c r="L2" t="s">
        <v>129</v>
      </c>
    </row>
    <row r="3" spans="1:14" x14ac:dyDescent="0.2">
      <c r="B3" s="11" t="s">
        <v>38</v>
      </c>
      <c r="C3" s="11" t="s">
        <v>35</v>
      </c>
      <c r="D3" s="11" t="s">
        <v>56</v>
      </c>
      <c r="G3" s="11" t="s">
        <v>38</v>
      </c>
      <c r="H3" s="11" t="s">
        <v>35</v>
      </c>
      <c r="I3" s="11" t="s">
        <v>56</v>
      </c>
      <c r="L3" t="s">
        <v>38</v>
      </c>
      <c r="M3" t="s">
        <v>35</v>
      </c>
      <c r="N3" t="s">
        <v>56</v>
      </c>
    </row>
    <row r="4" spans="1:14" x14ac:dyDescent="0.2">
      <c r="A4" s="11" t="s">
        <v>150</v>
      </c>
      <c r="B4" s="4">
        <v>0.39</v>
      </c>
      <c r="C4" s="4">
        <v>0.5</v>
      </c>
      <c r="D4" s="4">
        <v>0.28000000000000003</v>
      </c>
      <c r="F4" s="11" t="s">
        <v>150</v>
      </c>
      <c r="G4" s="4">
        <v>0.56999999999999995</v>
      </c>
      <c r="H4" s="4">
        <v>0.62</v>
      </c>
      <c r="I4" s="4">
        <v>0.28000000000000003</v>
      </c>
      <c r="K4" s="11" t="s">
        <v>150</v>
      </c>
      <c r="L4" s="4">
        <v>0.69</v>
      </c>
      <c r="M4" s="4">
        <v>0.28000000000000003</v>
      </c>
      <c r="N4" s="4">
        <v>0.25</v>
      </c>
    </row>
    <row r="5" spans="1:14" x14ac:dyDescent="0.2">
      <c r="A5" s="11" t="s">
        <v>167</v>
      </c>
      <c r="B5" s="4">
        <v>0.38</v>
      </c>
      <c r="C5" s="4">
        <v>0.43</v>
      </c>
      <c r="D5" s="4">
        <v>0.33</v>
      </c>
      <c r="F5" s="11" t="s">
        <v>167</v>
      </c>
      <c r="G5" s="4">
        <v>0.47</v>
      </c>
      <c r="H5" s="4">
        <v>0.37</v>
      </c>
      <c r="I5" s="4">
        <v>0.28000000000000003</v>
      </c>
      <c r="K5" s="11" t="s">
        <v>167</v>
      </c>
      <c r="L5" s="4">
        <v>0.72</v>
      </c>
      <c r="M5" s="4">
        <v>0.32</v>
      </c>
      <c r="N5" s="4">
        <v>0.21</v>
      </c>
    </row>
    <row r="6" spans="1:14" x14ac:dyDescent="0.2">
      <c r="A6" s="11" t="s">
        <v>168</v>
      </c>
      <c r="B6" s="4">
        <v>0.22</v>
      </c>
      <c r="C6" s="4">
        <v>0.57999999999999996</v>
      </c>
      <c r="D6" s="4">
        <v>0.39</v>
      </c>
      <c r="F6" s="11" t="s">
        <v>168</v>
      </c>
      <c r="G6" s="4">
        <v>0.34</v>
      </c>
      <c r="H6" s="4">
        <v>0.54</v>
      </c>
      <c r="I6" s="4">
        <v>0.37</v>
      </c>
      <c r="K6" s="11" t="s">
        <v>168</v>
      </c>
      <c r="L6" s="4">
        <v>0.51</v>
      </c>
      <c r="M6" s="4">
        <v>0.41</v>
      </c>
      <c r="N6" s="4">
        <v>0.32</v>
      </c>
    </row>
    <row r="7" spans="1:14" x14ac:dyDescent="0.2">
      <c r="A7" s="11" t="s">
        <v>149</v>
      </c>
      <c r="B7" s="4">
        <v>0.47</v>
      </c>
      <c r="C7" s="4">
        <v>0.42</v>
      </c>
      <c r="D7" s="4">
        <v>0.28000000000000003</v>
      </c>
      <c r="F7" s="11" t="s">
        <v>149</v>
      </c>
      <c r="G7" s="4">
        <v>0.65</v>
      </c>
      <c r="H7" s="4">
        <v>0.41</v>
      </c>
      <c r="I7" s="4">
        <v>0.3</v>
      </c>
      <c r="K7" s="11" t="s">
        <v>149</v>
      </c>
      <c r="L7" s="4">
        <v>0.83</v>
      </c>
      <c r="M7" s="4">
        <v>0.31</v>
      </c>
      <c r="N7" s="4">
        <v>0.21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751A3-D7BB-7743-B189-E4C970E11C3A}">
  <dimension ref="A1:R19"/>
  <sheetViews>
    <sheetView workbookViewId="0"/>
  </sheetViews>
  <sheetFormatPr baseColWidth="10" defaultRowHeight="16" x14ac:dyDescent="0.2"/>
  <cols>
    <col min="11" max="11" width="14.83203125" customWidth="1"/>
  </cols>
  <sheetData>
    <row r="1" spans="1:18" x14ac:dyDescent="0.2">
      <c r="A1" s="14" t="s">
        <v>188</v>
      </c>
    </row>
    <row r="2" spans="1:18" x14ac:dyDescent="0.2">
      <c r="B2" t="s">
        <v>83</v>
      </c>
      <c r="C2" t="s">
        <v>132</v>
      </c>
      <c r="D2" t="s">
        <v>132</v>
      </c>
      <c r="E2" t="s">
        <v>133</v>
      </c>
      <c r="F2" t="s">
        <v>134</v>
      </c>
      <c r="G2" t="s">
        <v>135</v>
      </c>
      <c r="H2" t="s">
        <v>136</v>
      </c>
      <c r="I2" t="s">
        <v>4</v>
      </c>
      <c r="L2" t="s">
        <v>95</v>
      </c>
      <c r="M2" t="s">
        <v>96</v>
      </c>
      <c r="N2" t="s">
        <v>97</v>
      </c>
      <c r="O2" t="s">
        <v>137</v>
      </c>
      <c r="P2" t="s">
        <v>98</v>
      </c>
      <c r="Q2" t="s">
        <v>138</v>
      </c>
    </row>
    <row r="3" spans="1:18" x14ac:dyDescent="0.2">
      <c r="K3" t="s">
        <v>75</v>
      </c>
      <c r="L3" s="7">
        <v>49.64</v>
      </c>
      <c r="M3" s="7">
        <v>23.52</v>
      </c>
      <c r="N3" s="7">
        <v>15.73</v>
      </c>
      <c r="O3" s="7">
        <v>4.0999999999999996</v>
      </c>
      <c r="P3" s="7">
        <v>3.79</v>
      </c>
      <c r="Q3" s="7">
        <v>3.23</v>
      </c>
      <c r="R3">
        <v>100</v>
      </c>
    </row>
    <row r="4" spans="1:18" x14ac:dyDescent="0.2">
      <c r="B4" t="s">
        <v>75</v>
      </c>
      <c r="C4" s="1">
        <v>1429</v>
      </c>
      <c r="D4">
        <v>677</v>
      </c>
      <c r="E4">
        <v>453</v>
      </c>
      <c r="F4">
        <v>118</v>
      </c>
      <c r="G4">
        <v>109</v>
      </c>
      <c r="H4">
        <v>93</v>
      </c>
      <c r="I4" s="1">
        <v>2879</v>
      </c>
      <c r="K4" t="s">
        <v>80</v>
      </c>
      <c r="L4" s="7">
        <v>41.27</v>
      </c>
      <c r="M4" s="7">
        <v>24.5</v>
      </c>
      <c r="N4" s="7">
        <v>20.66</v>
      </c>
      <c r="O4" s="7">
        <v>5.59</v>
      </c>
      <c r="P4" s="7">
        <v>1.92</v>
      </c>
      <c r="Q4" s="7">
        <v>6.06</v>
      </c>
      <c r="R4">
        <v>100</v>
      </c>
    </row>
    <row r="5" spans="1:18" x14ac:dyDescent="0.2">
      <c r="C5">
        <v>49.64</v>
      </c>
      <c r="D5">
        <v>23.52</v>
      </c>
      <c r="E5">
        <v>15.73</v>
      </c>
      <c r="F5">
        <v>4.0999999999999996</v>
      </c>
      <c r="G5">
        <v>3.79</v>
      </c>
      <c r="H5">
        <v>3.23</v>
      </c>
      <c r="I5">
        <v>100</v>
      </c>
      <c r="K5" t="s">
        <v>84</v>
      </c>
      <c r="L5" s="7">
        <v>24.02</v>
      </c>
      <c r="M5" s="7">
        <v>20.57</v>
      </c>
      <c r="N5" s="7">
        <v>28.81</v>
      </c>
      <c r="O5" s="7">
        <v>7.63</v>
      </c>
      <c r="P5" s="7">
        <v>0.5</v>
      </c>
      <c r="Q5" s="7">
        <v>18.47</v>
      </c>
      <c r="R5">
        <v>100</v>
      </c>
    </row>
    <row r="7" spans="1:18" x14ac:dyDescent="0.2">
      <c r="B7" t="s">
        <v>80</v>
      </c>
      <c r="C7">
        <v>797</v>
      </c>
      <c r="D7">
        <v>473</v>
      </c>
      <c r="E7">
        <v>399</v>
      </c>
      <c r="F7">
        <v>108</v>
      </c>
      <c r="G7">
        <v>37</v>
      </c>
      <c r="H7">
        <v>117</v>
      </c>
      <c r="I7" s="1">
        <v>1931</v>
      </c>
    </row>
    <row r="8" spans="1:18" x14ac:dyDescent="0.2">
      <c r="C8">
        <v>41.27</v>
      </c>
      <c r="D8">
        <v>24.5</v>
      </c>
      <c r="E8">
        <v>20.66</v>
      </c>
      <c r="F8">
        <v>5.59</v>
      </c>
      <c r="G8">
        <v>1.92</v>
      </c>
      <c r="H8">
        <v>6.06</v>
      </c>
      <c r="I8">
        <v>100</v>
      </c>
      <c r="L8" t="s">
        <v>95</v>
      </c>
      <c r="M8" t="s">
        <v>96</v>
      </c>
      <c r="N8" t="s">
        <v>97</v>
      </c>
      <c r="O8" t="s">
        <v>137</v>
      </c>
      <c r="P8" t="s">
        <v>98</v>
      </c>
      <c r="Q8" t="s">
        <v>138</v>
      </c>
    </row>
    <row r="9" spans="1:18" x14ac:dyDescent="0.2">
      <c r="K9" t="s">
        <v>75</v>
      </c>
      <c r="L9" s="4">
        <v>0.5</v>
      </c>
      <c r="M9" s="4">
        <v>0.24</v>
      </c>
      <c r="N9" s="4">
        <v>0.16</v>
      </c>
      <c r="O9" s="4">
        <v>0.04</v>
      </c>
      <c r="P9" s="4">
        <v>0.04</v>
      </c>
      <c r="Q9" s="4">
        <v>0.03</v>
      </c>
    </row>
    <row r="10" spans="1:18" x14ac:dyDescent="0.2">
      <c r="A10" t="s">
        <v>120</v>
      </c>
      <c r="B10" t="s">
        <v>80</v>
      </c>
      <c r="C10">
        <v>822</v>
      </c>
      <c r="D10">
        <v>704</v>
      </c>
      <c r="E10">
        <v>986</v>
      </c>
      <c r="F10">
        <v>261</v>
      </c>
      <c r="G10">
        <v>17</v>
      </c>
      <c r="H10">
        <v>632</v>
      </c>
      <c r="I10" s="1">
        <v>3422</v>
      </c>
      <c r="K10" t="s">
        <v>80</v>
      </c>
      <c r="L10" s="4">
        <v>0.41</v>
      </c>
      <c r="M10" s="4">
        <v>0.25</v>
      </c>
      <c r="N10" s="4">
        <v>0.21</v>
      </c>
      <c r="O10" s="4">
        <v>0.06</v>
      </c>
      <c r="P10" s="4">
        <v>0.02</v>
      </c>
      <c r="Q10" s="4">
        <v>0.06</v>
      </c>
    </row>
    <row r="11" spans="1:18" x14ac:dyDescent="0.2">
      <c r="C11">
        <v>24.02</v>
      </c>
      <c r="D11">
        <v>20.57</v>
      </c>
      <c r="E11">
        <v>28.81</v>
      </c>
      <c r="F11">
        <v>7.63</v>
      </c>
      <c r="G11">
        <v>0.5</v>
      </c>
      <c r="H11">
        <v>18.47</v>
      </c>
      <c r="I11">
        <v>100</v>
      </c>
      <c r="K11" t="s">
        <v>84</v>
      </c>
      <c r="L11" s="4">
        <v>0.24</v>
      </c>
      <c r="M11" s="4">
        <v>0.21</v>
      </c>
      <c r="N11" s="4">
        <v>0.28999999999999998</v>
      </c>
      <c r="O11" s="4">
        <v>0.08</v>
      </c>
      <c r="P11" s="4">
        <v>0.01</v>
      </c>
      <c r="Q11" s="4">
        <v>0.18</v>
      </c>
    </row>
    <row r="12" spans="1:18" x14ac:dyDescent="0.2">
      <c r="K12" t="s">
        <v>87</v>
      </c>
      <c r="L12" s="4">
        <v>0.38</v>
      </c>
      <c r="M12" s="4">
        <v>0.22</v>
      </c>
      <c r="N12" s="4">
        <v>0.22</v>
      </c>
      <c r="O12" s="4">
        <v>0.06</v>
      </c>
      <c r="P12" s="4">
        <v>0.02</v>
      </c>
      <c r="Q12" s="4">
        <v>0.1</v>
      </c>
    </row>
    <row r="13" spans="1:18" x14ac:dyDescent="0.2">
      <c r="B13" t="s">
        <v>40</v>
      </c>
      <c r="C13">
        <v>478</v>
      </c>
      <c r="D13">
        <v>182</v>
      </c>
      <c r="E13">
        <v>135</v>
      </c>
      <c r="F13">
        <v>27</v>
      </c>
      <c r="G13">
        <v>30</v>
      </c>
      <c r="H13">
        <v>88</v>
      </c>
      <c r="I13">
        <v>940</v>
      </c>
    </row>
    <row r="14" spans="1:18" x14ac:dyDescent="0.2">
      <c r="C14">
        <v>50.85</v>
      </c>
      <c r="D14">
        <v>19.36</v>
      </c>
      <c r="E14">
        <v>14.36</v>
      </c>
      <c r="F14">
        <v>2.87</v>
      </c>
      <c r="G14">
        <v>3.19</v>
      </c>
      <c r="H14">
        <v>9.36</v>
      </c>
      <c r="I14">
        <v>100</v>
      </c>
    </row>
    <row r="16" spans="1:18" x14ac:dyDescent="0.2">
      <c r="B16" t="s">
        <v>4</v>
      </c>
      <c r="C16" s="1">
        <v>3526</v>
      </c>
      <c r="D16" s="1">
        <v>2036</v>
      </c>
      <c r="E16" s="1">
        <v>1973</v>
      </c>
      <c r="F16">
        <v>514</v>
      </c>
      <c r="G16">
        <v>193</v>
      </c>
      <c r="H16">
        <v>930</v>
      </c>
      <c r="I16" s="1">
        <v>9172</v>
      </c>
    </row>
    <row r="17" spans="3:17" x14ac:dyDescent="0.2">
      <c r="C17">
        <v>38.44</v>
      </c>
      <c r="D17">
        <v>22.2</v>
      </c>
      <c r="E17">
        <v>21.51</v>
      </c>
      <c r="F17">
        <v>5.6</v>
      </c>
      <c r="G17">
        <v>2.1</v>
      </c>
      <c r="H17">
        <v>10.14</v>
      </c>
      <c r="I17">
        <v>100</v>
      </c>
    </row>
    <row r="19" spans="3:17" x14ac:dyDescent="0.2">
      <c r="K19" s="7"/>
      <c r="L19" s="7"/>
      <c r="M19" s="7"/>
      <c r="N19" s="7"/>
      <c r="O19" s="7"/>
      <c r="P19" s="7"/>
      <c r="Q19" s="7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D7B0B-3374-AF4A-86DA-6C9A2B922919}">
  <dimension ref="A1:N41"/>
  <sheetViews>
    <sheetView workbookViewId="0"/>
  </sheetViews>
  <sheetFormatPr baseColWidth="10" defaultRowHeight="16" x14ac:dyDescent="0.2"/>
  <sheetData>
    <row r="1" spans="1:14" x14ac:dyDescent="0.2">
      <c r="A1" s="14" t="s">
        <v>189</v>
      </c>
    </row>
    <row r="2" spans="1:14" x14ac:dyDescent="0.2">
      <c r="A2" t="s">
        <v>151</v>
      </c>
      <c r="B2" t="s">
        <v>132</v>
      </c>
      <c r="C2" t="s">
        <v>132</v>
      </c>
      <c r="D2" t="s">
        <v>133</v>
      </c>
      <c r="E2" t="s">
        <v>134</v>
      </c>
      <c r="F2" t="s">
        <v>135</v>
      </c>
      <c r="G2" t="s">
        <v>136</v>
      </c>
      <c r="H2" t="s">
        <v>4</v>
      </c>
      <c r="K2" s="12" t="s">
        <v>75</v>
      </c>
      <c r="L2" s="12"/>
      <c r="M2" s="12"/>
      <c r="N2" s="12"/>
    </row>
    <row r="3" spans="1:14" x14ac:dyDescent="0.2">
      <c r="K3" s="12" t="s">
        <v>95</v>
      </c>
      <c r="L3" s="12" t="s">
        <v>96</v>
      </c>
      <c r="M3" s="12" t="s">
        <v>97</v>
      </c>
      <c r="N3" s="12" t="s">
        <v>17</v>
      </c>
    </row>
    <row r="4" spans="1:14" x14ac:dyDescent="0.2">
      <c r="A4" t="s">
        <v>152</v>
      </c>
      <c r="B4">
        <v>49</v>
      </c>
      <c r="C4">
        <v>32</v>
      </c>
      <c r="D4">
        <v>14</v>
      </c>
      <c r="E4">
        <v>7</v>
      </c>
      <c r="F4">
        <v>3</v>
      </c>
      <c r="G4">
        <v>16</v>
      </c>
      <c r="H4">
        <v>121</v>
      </c>
      <c r="J4" s="13" t="s">
        <v>150</v>
      </c>
      <c r="K4" s="4">
        <v>0.41</v>
      </c>
      <c r="L4" s="4">
        <v>0.26</v>
      </c>
      <c r="M4" s="4">
        <v>0.12</v>
      </c>
      <c r="N4" s="4">
        <v>0.21</v>
      </c>
    </row>
    <row r="5" spans="1:14" x14ac:dyDescent="0.2">
      <c r="B5">
        <v>40.5</v>
      </c>
      <c r="C5">
        <v>26.45</v>
      </c>
      <c r="D5">
        <v>11.57</v>
      </c>
      <c r="E5">
        <v>5.79</v>
      </c>
      <c r="F5">
        <v>2.48</v>
      </c>
      <c r="G5">
        <v>13.22</v>
      </c>
      <c r="H5">
        <v>100</v>
      </c>
      <c r="J5" s="13" t="s">
        <v>167</v>
      </c>
      <c r="K5" s="4">
        <v>0.31</v>
      </c>
      <c r="L5" s="4">
        <v>0.23</v>
      </c>
      <c r="M5" s="4">
        <v>0.36</v>
      </c>
      <c r="N5" s="4">
        <v>0.1</v>
      </c>
    </row>
    <row r="6" spans="1:14" x14ac:dyDescent="0.2">
      <c r="J6" s="13" t="s">
        <v>168</v>
      </c>
      <c r="K6" s="4">
        <v>0.51</v>
      </c>
      <c r="L6" s="4">
        <v>0.25</v>
      </c>
      <c r="M6" s="4">
        <v>0.14000000000000001</v>
      </c>
      <c r="N6" s="4">
        <v>0.1</v>
      </c>
    </row>
    <row r="7" spans="1:14" x14ac:dyDescent="0.2">
      <c r="A7" t="s">
        <v>153</v>
      </c>
      <c r="B7">
        <v>60</v>
      </c>
      <c r="C7">
        <v>45</v>
      </c>
      <c r="D7">
        <v>71</v>
      </c>
      <c r="E7">
        <v>7</v>
      </c>
      <c r="F7">
        <v>4</v>
      </c>
      <c r="G7">
        <v>9</v>
      </c>
      <c r="H7">
        <v>196</v>
      </c>
      <c r="J7" s="13" t="s">
        <v>149</v>
      </c>
      <c r="K7" s="4">
        <v>0.5</v>
      </c>
      <c r="L7" s="4">
        <v>0.16</v>
      </c>
      <c r="M7" s="4">
        <v>0.17</v>
      </c>
      <c r="N7" s="4">
        <v>0.17</v>
      </c>
    </row>
    <row r="8" spans="1:14" x14ac:dyDescent="0.2">
      <c r="B8">
        <v>30.61</v>
      </c>
      <c r="C8">
        <v>22.96</v>
      </c>
      <c r="D8">
        <v>36.22</v>
      </c>
      <c r="E8">
        <v>3.57</v>
      </c>
      <c r="F8">
        <v>2.04</v>
      </c>
      <c r="G8">
        <v>4.59</v>
      </c>
      <c r="H8">
        <v>100</v>
      </c>
    </row>
    <row r="10" spans="1:14" x14ac:dyDescent="0.2">
      <c r="A10" t="s">
        <v>154</v>
      </c>
      <c r="B10">
        <v>758</v>
      </c>
      <c r="C10">
        <v>371</v>
      </c>
      <c r="D10">
        <v>211</v>
      </c>
      <c r="E10">
        <v>55</v>
      </c>
      <c r="F10">
        <v>58</v>
      </c>
      <c r="G10">
        <v>25</v>
      </c>
      <c r="H10" s="1">
        <v>1478</v>
      </c>
      <c r="K10" s="12" t="s">
        <v>80</v>
      </c>
      <c r="L10" s="12"/>
      <c r="M10" s="12"/>
      <c r="N10" s="12"/>
    </row>
    <row r="11" spans="1:14" x14ac:dyDescent="0.2">
      <c r="B11">
        <v>51.29</v>
      </c>
      <c r="C11">
        <v>25.1</v>
      </c>
      <c r="D11">
        <v>14.28</v>
      </c>
      <c r="E11">
        <v>3.72</v>
      </c>
      <c r="F11">
        <v>3.92</v>
      </c>
      <c r="G11">
        <v>1.69</v>
      </c>
      <c r="H11">
        <v>100</v>
      </c>
      <c r="K11" s="12" t="s">
        <v>95</v>
      </c>
      <c r="L11" s="12" t="s">
        <v>96</v>
      </c>
      <c r="M11" s="12" t="s">
        <v>97</v>
      </c>
      <c r="N11" s="12" t="s">
        <v>17</v>
      </c>
    </row>
    <row r="12" spans="1:14" x14ac:dyDescent="0.2">
      <c r="J12" s="13" t="s">
        <v>150</v>
      </c>
      <c r="K12" s="4">
        <v>0.15</v>
      </c>
      <c r="L12" s="4">
        <v>0.42</v>
      </c>
      <c r="M12" s="4">
        <v>0.18</v>
      </c>
      <c r="N12" s="4">
        <v>0.25</v>
      </c>
    </row>
    <row r="13" spans="1:14" x14ac:dyDescent="0.2">
      <c r="A13" t="s">
        <v>155</v>
      </c>
      <c r="B13">
        <v>109</v>
      </c>
      <c r="C13">
        <v>34</v>
      </c>
      <c r="D13">
        <v>36</v>
      </c>
      <c r="E13">
        <v>15</v>
      </c>
      <c r="F13">
        <v>9</v>
      </c>
      <c r="G13">
        <v>14</v>
      </c>
      <c r="H13">
        <v>217</v>
      </c>
      <c r="J13" s="13" t="s">
        <v>167</v>
      </c>
      <c r="K13" s="4">
        <v>0.3</v>
      </c>
      <c r="L13" s="4">
        <v>0.16</v>
      </c>
      <c r="M13" s="4">
        <v>0.44</v>
      </c>
      <c r="N13" s="4">
        <v>0.1</v>
      </c>
    </row>
    <row r="14" spans="1:14" x14ac:dyDescent="0.2">
      <c r="B14">
        <v>50.23</v>
      </c>
      <c r="C14">
        <v>15.67</v>
      </c>
      <c r="D14">
        <v>16.59</v>
      </c>
      <c r="E14">
        <v>6.91</v>
      </c>
      <c r="F14">
        <v>4.1500000000000004</v>
      </c>
      <c r="G14">
        <v>6.45</v>
      </c>
      <c r="H14">
        <v>100</v>
      </c>
      <c r="J14" s="13" t="s">
        <v>168</v>
      </c>
      <c r="K14" s="4">
        <v>0.44</v>
      </c>
      <c r="L14" s="4">
        <v>0.27</v>
      </c>
      <c r="M14" s="4">
        <v>0.18</v>
      </c>
      <c r="N14" s="4">
        <v>0.11</v>
      </c>
    </row>
    <row r="15" spans="1:14" x14ac:dyDescent="0.2">
      <c r="J15" s="13" t="s">
        <v>149</v>
      </c>
      <c r="K15" s="4">
        <v>0.41</v>
      </c>
      <c r="L15" s="4">
        <v>0.2</v>
      </c>
      <c r="M15" s="4">
        <v>0.18</v>
      </c>
      <c r="N15" s="4">
        <v>0.2</v>
      </c>
    </row>
    <row r="16" spans="1:14" x14ac:dyDescent="0.2">
      <c r="A16" t="s">
        <v>156</v>
      </c>
      <c r="B16">
        <v>10</v>
      </c>
      <c r="C16">
        <v>27</v>
      </c>
      <c r="D16">
        <v>12</v>
      </c>
      <c r="E16">
        <v>6</v>
      </c>
      <c r="F16">
        <v>0</v>
      </c>
      <c r="G16">
        <v>10</v>
      </c>
      <c r="H16">
        <v>65</v>
      </c>
    </row>
    <row r="17" spans="1:14" x14ac:dyDescent="0.2">
      <c r="B17">
        <v>15.38</v>
      </c>
      <c r="C17">
        <v>41.54</v>
      </c>
      <c r="D17">
        <v>18.46</v>
      </c>
      <c r="E17">
        <v>9.23</v>
      </c>
      <c r="F17">
        <v>0</v>
      </c>
      <c r="G17">
        <v>15.38</v>
      </c>
      <c r="H17">
        <v>100</v>
      </c>
    </row>
    <row r="18" spans="1:14" x14ac:dyDescent="0.2">
      <c r="K18" s="12" t="s">
        <v>84</v>
      </c>
      <c r="L18" s="12"/>
      <c r="M18" s="12"/>
      <c r="N18" s="12"/>
    </row>
    <row r="19" spans="1:14" x14ac:dyDescent="0.2">
      <c r="A19" t="s">
        <v>157</v>
      </c>
      <c r="B19">
        <v>50</v>
      </c>
      <c r="C19">
        <v>27</v>
      </c>
      <c r="D19">
        <v>72</v>
      </c>
      <c r="E19">
        <v>8</v>
      </c>
      <c r="F19">
        <v>0</v>
      </c>
      <c r="G19">
        <v>8</v>
      </c>
      <c r="H19">
        <v>165</v>
      </c>
      <c r="K19" s="12" t="s">
        <v>95</v>
      </c>
      <c r="L19" s="12" t="s">
        <v>96</v>
      </c>
      <c r="M19" s="12" t="s">
        <v>97</v>
      </c>
      <c r="N19" s="12" t="s">
        <v>17</v>
      </c>
    </row>
    <row r="20" spans="1:14" x14ac:dyDescent="0.2">
      <c r="B20">
        <v>30.3</v>
      </c>
      <c r="C20">
        <v>16.36</v>
      </c>
      <c r="D20">
        <v>43.64</v>
      </c>
      <c r="E20">
        <v>4.8499999999999996</v>
      </c>
      <c r="F20">
        <v>0</v>
      </c>
      <c r="G20">
        <v>4.8499999999999996</v>
      </c>
      <c r="H20">
        <v>100</v>
      </c>
      <c r="J20" s="13" t="s">
        <v>150</v>
      </c>
      <c r="K20" s="4">
        <v>0.14000000000000001</v>
      </c>
      <c r="L20" s="4">
        <v>0.26</v>
      </c>
      <c r="M20" s="4">
        <v>0.37</v>
      </c>
      <c r="N20" s="4">
        <v>0.23</v>
      </c>
    </row>
    <row r="21" spans="1:14" x14ac:dyDescent="0.2">
      <c r="J21" s="13" t="s">
        <v>167</v>
      </c>
      <c r="K21" s="4">
        <v>0.12</v>
      </c>
      <c r="L21" s="4">
        <v>0.15</v>
      </c>
      <c r="M21" s="4">
        <v>0.5</v>
      </c>
      <c r="N21" s="4">
        <v>0.23</v>
      </c>
    </row>
    <row r="22" spans="1:14" x14ac:dyDescent="0.2">
      <c r="A22" t="s">
        <v>158</v>
      </c>
      <c r="B22">
        <v>393</v>
      </c>
      <c r="C22">
        <v>242</v>
      </c>
      <c r="D22">
        <v>165</v>
      </c>
      <c r="E22">
        <v>44</v>
      </c>
      <c r="F22">
        <v>24</v>
      </c>
      <c r="G22">
        <v>30</v>
      </c>
      <c r="H22">
        <v>898</v>
      </c>
      <c r="J22" s="13" t="s">
        <v>168</v>
      </c>
      <c r="K22" s="4">
        <v>0.4</v>
      </c>
      <c r="L22" s="4">
        <v>0.28000000000000003</v>
      </c>
      <c r="M22" s="4">
        <v>0.16</v>
      </c>
      <c r="N22" s="4">
        <v>0.16</v>
      </c>
    </row>
    <row r="23" spans="1:14" x14ac:dyDescent="0.2">
      <c r="B23">
        <v>43.76</v>
      </c>
      <c r="C23">
        <v>26.95</v>
      </c>
      <c r="D23">
        <v>18.37</v>
      </c>
      <c r="E23">
        <v>4.9000000000000004</v>
      </c>
      <c r="F23">
        <v>2.67</v>
      </c>
      <c r="G23">
        <v>3.34</v>
      </c>
      <c r="H23">
        <v>100</v>
      </c>
      <c r="J23" s="13" t="s">
        <v>149</v>
      </c>
      <c r="K23" s="4">
        <v>0.21</v>
      </c>
      <c r="L23" s="4">
        <v>0.19</v>
      </c>
      <c r="M23" s="4">
        <v>0.24</v>
      </c>
      <c r="N23" s="4">
        <v>0.36</v>
      </c>
    </row>
    <row r="25" spans="1:14" x14ac:dyDescent="0.2">
      <c r="A25" t="s">
        <v>159</v>
      </c>
      <c r="B25">
        <v>87</v>
      </c>
      <c r="C25">
        <v>43</v>
      </c>
      <c r="D25">
        <v>37</v>
      </c>
      <c r="E25">
        <v>16</v>
      </c>
      <c r="F25">
        <v>3</v>
      </c>
      <c r="G25">
        <v>24</v>
      </c>
      <c r="H25">
        <v>210</v>
      </c>
    </row>
    <row r="26" spans="1:14" x14ac:dyDescent="0.2">
      <c r="B26">
        <v>41.43</v>
      </c>
      <c r="C26">
        <v>20.48</v>
      </c>
      <c r="D26">
        <v>17.62</v>
      </c>
      <c r="E26">
        <v>7.62</v>
      </c>
      <c r="F26">
        <v>1.43</v>
      </c>
      <c r="G26">
        <v>11.43</v>
      </c>
      <c r="H26">
        <v>100</v>
      </c>
    </row>
    <row r="28" spans="1:14" x14ac:dyDescent="0.2">
      <c r="A28" t="s">
        <v>160</v>
      </c>
      <c r="B28">
        <v>10</v>
      </c>
      <c r="C28">
        <v>19</v>
      </c>
      <c r="D28">
        <v>27</v>
      </c>
      <c r="E28">
        <v>7</v>
      </c>
      <c r="F28">
        <v>1</v>
      </c>
      <c r="G28">
        <v>9</v>
      </c>
      <c r="H28">
        <v>73</v>
      </c>
    </row>
    <row r="29" spans="1:14" x14ac:dyDescent="0.2">
      <c r="B29">
        <v>13.7</v>
      </c>
      <c r="C29">
        <v>26.03</v>
      </c>
      <c r="D29">
        <v>36.99</v>
      </c>
      <c r="E29">
        <v>9.59</v>
      </c>
      <c r="F29">
        <v>1.37</v>
      </c>
      <c r="G29">
        <v>12.33</v>
      </c>
      <c r="H29">
        <v>100</v>
      </c>
    </row>
    <row r="31" spans="1:14" x14ac:dyDescent="0.2">
      <c r="A31" t="s">
        <v>161</v>
      </c>
      <c r="B31">
        <v>59</v>
      </c>
      <c r="C31">
        <v>77</v>
      </c>
      <c r="D31">
        <v>252</v>
      </c>
      <c r="E31">
        <v>35</v>
      </c>
      <c r="F31">
        <v>0</v>
      </c>
      <c r="G31">
        <v>82</v>
      </c>
      <c r="H31">
        <v>505</v>
      </c>
    </row>
    <row r="32" spans="1:14" x14ac:dyDescent="0.2">
      <c r="B32">
        <v>11.68</v>
      </c>
      <c r="C32">
        <v>15.25</v>
      </c>
      <c r="D32">
        <v>49.9</v>
      </c>
      <c r="E32">
        <v>6.93</v>
      </c>
      <c r="F32">
        <v>0</v>
      </c>
      <c r="G32">
        <v>16.239999999999998</v>
      </c>
      <c r="H32">
        <v>100</v>
      </c>
    </row>
    <row r="34" spans="1:8" x14ac:dyDescent="0.2">
      <c r="A34" t="s">
        <v>162</v>
      </c>
      <c r="B34">
        <v>221</v>
      </c>
      <c r="C34">
        <v>157</v>
      </c>
      <c r="D34">
        <v>92</v>
      </c>
      <c r="E34">
        <v>41</v>
      </c>
      <c r="F34">
        <v>5</v>
      </c>
      <c r="G34">
        <v>42</v>
      </c>
      <c r="H34">
        <v>558</v>
      </c>
    </row>
    <row r="35" spans="1:8" x14ac:dyDescent="0.2">
      <c r="B35">
        <v>39.61</v>
      </c>
      <c r="C35">
        <v>28.14</v>
      </c>
      <c r="D35">
        <v>16.489999999999998</v>
      </c>
      <c r="E35">
        <v>7.35</v>
      </c>
      <c r="F35">
        <v>0.9</v>
      </c>
      <c r="G35">
        <v>7.53</v>
      </c>
      <c r="H35">
        <v>100</v>
      </c>
    </row>
    <row r="37" spans="1:8" x14ac:dyDescent="0.2">
      <c r="A37" t="s">
        <v>163</v>
      </c>
      <c r="B37">
        <v>204</v>
      </c>
      <c r="C37">
        <v>190</v>
      </c>
      <c r="D37">
        <v>235</v>
      </c>
      <c r="E37">
        <v>78</v>
      </c>
      <c r="F37">
        <v>1</v>
      </c>
      <c r="G37">
        <v>276</v>
      </c>
      <c r="H37">
        <v>984</v>
      </c>
    </row>
    <row r="38" spans="1:8" x14ac:dyDescent="0.2">
      <c r="B38">
        <v>20.73</v>
      </c>
      <c r="C38">
        <v>19.309999999999999</v>
      </c>
      <c r="D38">
        <v>23.88</v>
      </c>
      <c r="E38">
        <v>7.93</v>
      </c>
      <c r="F38">
        <v>0.1</v>
      </c>
      <c r="G38">
        <v>28.05</v>
      </c>
      <c r="H38">
        <v>100</v>
      </c>
    </row>
    <row r="40" spans="1:8" x14ac:dyDescent="0.2">
      <c r="A40" t="s">
        <v>4</v>
      </c>
      <c r="B40" s="1">
        <v>2010</v>
      </c>
      <c r="C40" s="1">
        <v>1264</v>
      </c>
      <c r="D40" s="1">
        <v>1224</v>
      </c>
      <c r="E40">
        <v>319</v>
      </c>
      <c r="F40">
        <v>108</v>
      </c>
      <c r="G40">
        <v>545</v>
      </c>
      <c r="H40" s="1">
        <v>5470</v>
      </c>
    </row>
    <row r="41" spans="1:8" x14ac:dyDescent="0.2">
      <c r="B41">
        <v>36.75</v>
      </c>
      <c r="C41">
        <v>23.11</v>
      </c>
      <c r="D41">
        <v>22.38</v>
      </c>
      <c r="E41">
        <v>5.83</v>
      </c>
      <c r="F41">
        <v>1.97</v>
      </c>
      <c r="G41">
        <v>9.9600000000000009</v>
      </c>
      <c r="H41">
        <v>100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A3210-0C11-0F46-B14D-B439C7D8F3F1}">
  <dimension ref="A1:J24"/>
  <sheetViews>
    <sheetView workbookViewId="0">
      <selection activeCell="K21" sqref="K21"/>
    </sheetView>
  </sheetViews>
  <sheetFormatPr baseColWidth="10" defaultRowHeight="16" x14ac:dyDescent="0.2"/>
  <cols>
    <col min="1" max="1" width="20" customWidth="1"/>
  </cols>
  <sheetData>
    <row r="1" spans="1:10" x14ac:dyDescent="0.2">
      <c r="A1" s="14" t="s">
        <v>169</v>
      </c>
    </row>
    <row r="2" spans="1:10" x14ac:dyDescent="0.2">
      <c r="F2" t="s">
        <v>174</v>
      </c>
    </row>
    <row r="3" spans="1:10" x14ac:dyDescent="0.2">
      <c r="A3" t="s">
        <v>88</v>
      </c>
      <c r="B3" t="s">
        <v>49</v>
      </c>
      <c r="C3" t="s">
        <v>20</v>
      </c>
      <c r="D3" t="s">
        <v>4</v>
      </c>
      <c r="F3" t="s">
        <v>175</v>
      </c>
      <c r="G3" t="s">
        <v>176</v>
      </c>
      <c r="H3" t="s">
        <v>177</v>
      </c>
      <c r="I3" t="s">
        <v>178</v>
      </c>
    </row>
    <row r="4" spans="1:10" x14ac:dyDescent="0.2">
      <c r="F4" t="s">
        <v>179</v>
      </c>
      <c r="G4" t="s">
        <v>180</v>
      </c>
      <c r="H4" t="s">
        <v>181</v>
      </c>
    </row>
    <row r="5" spans="1:10" x14ac:dyDescent="0.2">
      <c r="A5" t="s">
        <v>89</v>
      </c>
      <c r="B5" s="1">
        <v>1548</v>
      </c>
      <c r="C5" s="1">
        <v>1950</v>
      </c>
      <c r="D5" s="1">
        <v>3498</v>
      </c>
    </row>
    <row r="6" spans="1:10" x14ac:dyDescent="0.2">
      <c r="B6">
        <v>44.25</v>
      </c>
      <c r="C6">
        <v>55.75</v>
      </c>
      <c r="D6">
        <v>100</v>
      </c>
    </row>
    <row r="8" spans="1:10" x14ac:dyDescent="0.2">
      <c r="A8" t="s">
        <v>90</v>
      </c>
      <c r="B8">
        <v>393</v>
      </c>
      <c r="C8" s="1">
        <v>1633</v>
      </c>
      <c r="D8" s="1">
        <v>2026</v>
      </c>
      <c r="H8" t="s">
        <v>182</v>
      </c>
    </row>
    <row r="9" spans="1:10" x14ac:dyDescent="0.2">
      <c r="B9">
        <v>19.399999999999999</v>
      </c>
      <c r="C9">
        <v>80.599999999999994</v>
      </c>
      <c r="D9">
        <v>100</v>
      </c>
      <c r="G9" s="15" t="s">
        <v>97</v>
      </c>
      <c r="H9" s="16">
        <v>0.89</v>
      </c>
      <c r="I9" s="7">
        <v>55.75</v>
      </c>
      <c r="J9" s="1">
        <v>1950</v>
      </c>
    </row>
    <row r="10" spans="1:10" x14ac:dyDescent="0.2">
      <c r="G10" s="15" t="s">
        <v>96</v>
      </c>
      <c r="H10" s="16">
        <v>0.81</v>
      </c>
      <c r="I10" s="7">
        <v>80.599999999999994</v>
      </c>
      <c r="J10" s="1">
        <v>1633</v>
      </c>
    </row>
    <row r="11" spans="1:10" x14ac:dyDescent="0.2">
      <c r="A11" t="s">
        <v>91</v>
      </c>
      <c r="B11">
        <v>210</v>
      </c>
      <c r="C11" s="1">
        <v>1756</v>
      </c>
      <c r="D11" s="1">
        <v>1966</v>
      </c>
      <c r="G11" s="15" t="s">
        <v>95</v>
      </c>
      <c r="H11" s="16">
        <v>0.56000000000000005</v>
      </c>
      <c r="I11" s="7">
        <v>89.32</v>
      </c>
      <c r="J11" s="1">
        <v>1756</v>
      </c>
    </row>
    <row r="12" spans="1:10" x14ac:dyDescent="0.2">
      <c r="B12">
        <v>10.68</v>
      </c>
      <c r="C12">
        <v>89.32</v>
      </c>
      <c r="D12">
        <v>100</v>
      </c>
      <c r="G12" s="15" t="s">
        <v>87</v>
      </c>
      <c r="H12" s="4">
        <v>0.74</v>
      </c>
    </row>
    <row r="13" spans="1:10" x14ac:dyDescent="0.2">
      <c r="H13" s="4"/>
    </row>
    <row r="14" spans="1:10" x14ac:dyDescent="0.2">
      <c r="A14" t="s">
        <v>92</v>
      </c>
      <c r="B14">
        <v>29</v>
      </c>
      <c r="C14">
        <v>483</v>
      </c>
      <c r="D14">
        <v>512</v>
      </c>
    </row>
    <row r="15" spans="1:10" x14ac:dyDescent="0.2">
      <c r="B15">
        <v>5.66</v>
      </c>
      <c r="C15">
        <v>94.34</v>
      </c>
      <c r="D15">
        <v>100</v>
      </c>
    </row>
    <row r="17" spans="1:4" x14ac:dyDescent="0.2">
      <c r="A17" t="s">
        <v>93</v>
      </c>
      <c r="B17">
        <v>98</v>
      </c>
      <c r="C17">
        <v>90</v>
      </c>
      <c r="D17">
        <v>188</v>
      </c>
    </row>
    <row r="18" spans="1:4" x14ac:dyDescent="0.2">
      <c r="B18">
        <v>52.13</v>
      </c>
      <c r="C18">
        <v>47.87</v>
      </c>
      <c r="D18">
        <v>100</v>
      </c>
    </row>
    <row r="20" spans="1:4" x14ac:dyDescent="0.2">
      <c r="A20" t="s">
        <v>94</v>
      </c>
      <c r="B20">
        <v>85</v>
      </c>
      <c r="C20">
        <v>845</v>
      </c>
      <c r="D20">
        <v>930</v>
      </c>
    </row>
    <row r="21" spans="1:4" x14ac:dyDescent="0.2">
      <c r="B21">
        <v>9.14</v>
      </c>
      <c r="C21">
        <v>90.86</v>
      </c>
      <c r="D21">
        <v>100</v>
      </c>
    </row>
    <row r="23" spans="1:4" x14ac:dyDescent="0.2">
      <c r="A23" t="s">
        <v>4</v>
      </c>
      <c r="B23" s="1">
        <v>2363</v>
      </c>
      <c r="C23" s="1">
        <v>6757</v>
      </c>
      <c r="D23" s="1">
        <v>9120</v>
      </c>
    </row>
    <row r="24" spans="1:4" x14ac:dyDescent="0.2">
      <c r="B24">
        <v>25.91</v>
      </c>
      <c r="C24">
        <v>74.09</v>
      </c>
      <c r="D24">
        <v>100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269A-84C4-044F-9BDB-C5253472047A}">
  <dimension ref="A1:AU26"/>
  <sheetViews>
    <sheetView workbookViewId="0">
      <selection activeCell="A7" sqref="A7:A14"/>
    </sheetView>
  </sheetViews>
  <sheetFormatPr baseColWidth="10" defaultRowHeight="16" x14ac:dyDescent="0.2"/>
  <cols>
    <col min="1" max="1" width="21.83203125" customWidth="1"/>
  </cols>
  <sheetData>
    <row r="1" spans="1:47" x14ac:dyDescent="0.2">
      <c r="A1" s="14" t="s">
        <v>190</v>
      </c>
    </row>
    <row r="3" spans="1:47" x14ac:dyDescent="0.2">
      <c r="B3" t="s">
        <v>122</v>
      </c>
      <c r="C3" t="s">
        <v>121</v>
      </c>
      <c r="D3" t="s">
        <v>123</v>
      </c>
      <c r="E3" t="s">
        <v>124</v>
      </c>
      <c r="F3" t="s">
        <v>125</v>
      </c>
      <c r="G3" t="s">
        <v>126</v>
      </c>
      <c r="H3" t="s">
        <v>127</v>
      </c>
      <c r="I3" t="s">
        <v>128</v>
      </c>
    </row>
    <row r="4" spans="1:47" x14ac:dyDescent="0.2">
      <c r="A4" t="s">
        <v>87</v>
      </c>
      <c r="B4" s="7">
        <v>50.2</v>
      </c>
      <c r="C4" s="7">
        <v>50.78</v>
      </c>
      <c r="D4" s="7">
        <v>32.89</v>
      </c>
      <c r="E4" s="7">
        <v>53.49</v>
      </c>
      <c r="F4" s="7">
        <v>35.159999999999997</v>
      </c>
      <c r="G4" s="7">
        <v>43.8</v>
      </c>
      <c r="H4" s="7">
        <v>4.46</v>
      </c>
      <c r="I4" s="7">
        <v>2.61</v>
      </c>
      <c r="K4" s="1"/>
      <c r="O4" s="1"/>
      <c r="Q4" s="1"/>
      <c r="V4" s="1"/>
      <c r="W4" s="1"/>
      <c r="AA4" s="1"/>
      <c r="AC4" s="1"/>
      <c r="AG4" s="1"/>
      <c r="AI4" s="1"/>
      <c r="AM4" s="1"/>
      <c r="AO4" s="1"/>
      <c r="AS4" s="1"/>
      <c r="AU4" s="1"/>
    </row>
    <row r="6" spans="1:47" x14ac:dyDescent="0.2">
      <c r="B6" t="s">
        <v>4</v>
      </c>
    </row>
    <row r="7" spans="1:47" x14ac:dyDescent="0.2">
      <c r="A7" t="s">
        <v>124</v>
      </c>
      <c r="B7" s="4">
        <v>0.53</v>
      </c>
      <c r="C7" s="1"/>
      <c r="E7" s="1"/>
      <c r="I7" s="1"/>
      <c r="J7" s="1"/>
      <c r="K7" s="1"/>
      <c r="O7" s="1"/>
      <c r="P7" s="1"/>
      <c r="Q7" s="1"/>
      <c r="U7" s="1"/>
      <c r="V7" s="1"/>
      <c r="W7" s="1"/>
      <c r="AA7" s="1"/>
      <c r="AB7" s="1"/>
      <c r="AC7" s="1"/>
      <c r="AG7" s="1"/>
      <c r="AH7" s="1"/>
      <c r="AI7" s="1"/>
      <c r="AM7" s="1"/>
      <c r="AO7" s="1"/>
      <c r="AS7" s="1"/>
      <c r="AU7" s="1"/>
    </row>
    <row r="8" spans="1:47" x14ac:dyDescent="0.2">
      <c r="A8" t="s">
        <v>121</v>
      </c>
      <c r="B8" s="4">
        <v>0.51</v>
      </c>
    </row>
    <row r="9" spans="1:47" x14ac:dyDescent="0.2">
      <c r="A9" t="s">
        <v>131</v>
      </c>
      <c r="B9" s="4">
        <v>0.5</v>
      </c>
    </row>
    <row r="10" spans="1:47" x14ac:dyDescent="0.2">
      <c r="A10" t="s">
        <v>130</v>
      </c>
      <c r="B10" s="4">
        <v>0.44</v>
      </c>
    </row>
    <row r="11" spans="1:47" x14ac:dyDescent="0.2">
      <c r="A11" t="s">
        <v>125</v>
      </c>
      <c r="B11" s="4">
        <v>0.35</v>
      </c>
    </row>
    <row r="12" spans="1:47" x14ac:dyDescent="0.2">
      <c r="A12" t="s">
        <v>123</v>
      </c>
      <c r="B12" s="4">
        <v>0.33</v>
      </c>
    </row>
    <row r="13" spans="1:47" x14ac:dyDescent="0.2">
      <c r="A13" t="s">
        <v>127</v>
      </c>
      <c r="B13" s="4">
        <v>0.04</v>
      </c>
      <c r="C13" s="1"/>
      <c r="D13" s="1"/>
      <c r="E13" s="1"/>
      <c r="I13" s="1"/>
      <c r="J13" s="1"/>
      <c r="K13" s="1"/>
      <c r="O13" s="1"/>
      <c r="P13" s="1"/>
      <c r="Q13" s="1"/>
      <c r="U13" s="1"/>
      <c r="V13" s="1"/>
      <c r="W13" s="1"/>
      <c r="AA13" s="1"/>
      <c r="AB13" s="1"/>
      <c r="AC13" s="1"/>
      <c r="AG13" s="1"/>
      <c r="AH13" s="1"/>
      <c r="AI13" s="1"/>
      <c r="AM13" s="1"/>
      <c r="AO13" s="1"/>
      <c r="AS13" s="1"/>
      <c r="AU13" s="1"/>
    </row>
    <row r="14" spans="1:47" x14ac:dyDescent="0.2">
      <c r="A14" t="s">
        <v>128</v>
      </c>
      <c r="B14" s="4">
        <v>0.03</v>
      </c>
    </row>
    <row r="18" spans="2:7" x14ac:dyDescent="0.2">
      <c r="B18" s="1"/>
      <c r="C18" s="1"/>
      <c r="E18" s="1"/>
    </row>
    <row r="20" spans="2:7" x14ac:dyDescent="0.2">
      <c r="B20" s="1"/>
      <c r="E20" s="1"/>
    </row>
    <row r="22" spans="2:7" x14ac:dyDescent="0.2">
      <c r="C22" s="1"/>
      <c r="D22" s="1"/>
      <c r="E22" s="1"/>
      <c r="F22" s="1"/>
      <c r="G22" s="1"/>
    </row>
    <row r="26" spans="2:7" x14ac:dyDescent="0.2">
      <c r="B26" s="1"/>
      <c r="C26" s="1"/>
      <c r="D26" s="1"/>
      <c r="E26" s="1"/>
      <c r="F26" s="1"/>
      <c r="G26" s="1"/>
    </row>
  </sheetData>
  <sortState xmlns:xlrd2="http://schemas.microsoft.com/office/spreadsheetml/2017/richdata2" ref="A7:B14">
    <sortCondition descending="1" ref="B9:B14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5CA9D-01EB-7247-94CD-A61EB671F849}">
  <dimension ref="A2:AL60"/>
  <sheetViews>
    <sheetView topLeftCell="A6" workbookViewId="0">
      <selection activeCell="F35" sqref="F35"/>
    </sheetView>
  </sheetViews>
  <sheetFormatPr baseColWidth="10" defaultRowHeight="16" x14ac:dyDescent="0.2"/>
  <cols>
    <col min="23" max="23" width="23" customWidth="1"/>
  </cols>
  <sheetData>
    <row r="2" spans="1:31" x14ac:dyDescent="0.2">
      <c r="B2" t="s">
        <v>124</v>
      </c>
      <c r="C2" t="s">
        <v>121</v>
      </c>
      <c r="D2" t="s">
        <v>122</v>
      </c>
      <c r="E2" t="s">
        <v>126</v>
      </c>
      <c r="F2" t="s">
        <v>125</v>
      </c>
      <c r="G2" t="s">
        <v>123</v>
      </c>
      <c r="H2" t="s">
        <v>127</v>
      </c>
      <c r="I2" t="s">
        <v>128</v>
      </c>
      <c r="X2" t="s">
        <v>122</v>
      </c>
      <c r="Y2" t="s">
        <v>121</v>
      </c>
      <c r="Z2" t="s">
        <v>123</v>
      </c>
      <c r="AA2" t="s">
        <v>124</v>
      </c>
      <c r="AB2" t="s">
        <v>125</v>
      </c>
      <c r="AC2" t="s">
        <v>126</v>
      </c>
      <c r="AD2" t="s">
        <v>127</v>
      </c>
      <c r="AE2" t="s">
        <v>128</v>
      </c>
    </row>
    <row r="3" spans="1:31" x14ac:dyDescent="0.2">
      <c r="A3" t="s">
        <v>95</v>
      </c>
      <c r="B3" s="4">
        <v>0.55000000000000004</v>
      </c>
      <c r="C3" s="4">
        <v>0.37</v>
      </c>
      <c r="D3" s="4">
        <v>0.47</v>
      </c>
      <c r="E3" s="4">
        <v>0.28000000000000003</v>
      </c>
      <c r="F3" s="4">
        <v>0.33</v>
      </c>
      <c r="G3" s="4">
        <v>0.24</v>
      </c>
      <c r="H3" s="4">
        <v>0.04</v>
      </c>
      <c r="I3" s="4">
        <v>0.02</v>
      </c>
      <c r="W3" t="s">
        <v>95</v>
      </c>
      <c r="X3" s="4">
        <v>0.47</v>
      </c>
      <c r="Y3" s="4">
        <v>0.37</v>
      </c>
      <c r="Z3" s="4">
        <v>0.24</v>
      </c>
      <c r="AA3" s="4">
        <v>0.55000000000000004</v>
      </c>
      <c r="AB3" s="4">
        <v>0.33</v>
      </c>
      <c r="AC3" s="4">
        <v>0.28000000000000003</v>
      </c>
      <c r="AD3" s="4">
        <v>0.04</v>
      </c>
      <c r="AE3" s="4">
        <v>0.02</v>
      </c>
    </row>
    <row r="4" spans="1:31" x14ac:dyDescent="0.2">
      <c r="A4" t="s">
        <v>96</v>
      </c>
      <c r="B4" s="4">
        <v>0.53</v>
      </c>
      <c r="C4" s="4">
        <v>0.5</v>
      </c>
      <c r="D4" s="4">
        <v>0.6</v>
      </c>
      <c r="E4" s="4">
        <v>0.43</v>
      </c>
      <c r="F4" s="4">
        <v>0.35</v>
      </c>
      <c r="G4" s="4">
        <v>0.35</v>
      </c>
      <c r="H4" s="4">
        <v>0.05</v>
      </c>
      <c r="I4" s="4">
        <v>0.03</v>
      </c>
      <c r="W4" t="s">
        <v>96</v>
      </c>
      <c r="X4" s="4">
        <v>0.6</v>
      </c>
      <c r="Y4" s="4">
        <v>0.5</v>
      </c>
      <c r="Z4" s="4">
        <v>0.35</v>
      </c>
      <c r="AA4" s="4">
        <v>0.53</v>
      </c>
      <c r="AB4" s="4">
        <v>0.35</v>
      </c>
      <c r="AC4" s="4">
        <v>0.43</v>
      </c>
      <c r="AD4" s="4">
        <v>0.05</v>
      </c>
      <c r="AE4" s="4">
        <v>0.03</v>
      </c>
    </row>
    <row r="5" spans="1:31" x14ac:dyDescent="0.2">
      <c r="A5" t="s">
        <v>97</v>
      </c>
      <c r="B5" s="4">
        <v>0.54</v>
      </c>
      <c r="C5" s="4">
        <v>0.62</v>
      </c>
      <c r="D5" s="4">
        <v>0.57999999999999996</v>
      </c>
      <c r="E5" s="4">
        <v>0.57999999999999996</v>
      </c>
      <c r="F5" s="4">
        <v>0.39</v>
      </c>
      <c r="G5" s="4">
        <v>0.4</v>
      </c>
      <c r="H5" s="4">
        <v>0.06</v>
      </c>
      <c r="I5" s="4">
        <v>0.03</v>
      </c>
      <c r="W5" t="s">
        <v>97</v>
      </c>
      <c r="X5" s="4">
        <v>0.57999999999999996</v>
      </c>
      <c r="Y5" s="4">
        <v>0.62</v>
      </c>
      <c r="Z5" s="4">
        <v>0.4</v>
      </c>
      <c r="AA5" s="4">
        <v>0.54</v>
      </c>
      <c r="AB5" s="4">
        <v>0.39</v>
      </c>
      <c r="AC5" s="4">
        <v>0.57999999999999996</v>
      </c>
      <c r="AD5" s="4">
        <v>0.06</v>
      </c>
      <c r="AE5" s="4">
        <v>0.03</v>
      </c>
    </row>
    <row r="6" spans="1:31" x14ac:dyDescent="0.2">
      <c r="A6" t="s">
        <v>87</v>
      </c>
      <c r="B6" s="4">
        <v>0.53</v>
      </c>
      <c r="C6" s="4">
        <v>0.51</v>
      </c>
      <c r="D6" s="4">
        <v>0.5</v>
      </c>
      <c r="E6" s="4">
        <v>0.44</v>
      </c>
      <c r="F6" s="4">
        <v>0.35</v>
      </c>
      <c r="G6" s="4">
        <v>0.33</v>
      </c>
      <c r="H6" s="4">
        <v>0.04</v>
      </c>
      <c r="I6" s="4">
        <v>0.03</v>
      </c>
      <c r="W6" t="s">
        <v>87</v>
      </c>
      <c r="X6" s="4">
        <v>0.5</v>
      </c>
      <c r="Y6" s="4">
        <v>0.51</v>
      </c>
      <c r="Z6" s="4">
        <v>0.33</v>
      </c>
      <c r="AA6" s="4">
        <v>0.53</v>
      </c>
      <c r="AB6" s="4">
        <v>0.35</v>
      </c>
      <c r="AC6" s="4">
        <v>0.44</v>
      </c>
      <c r="AD6" s="4">
        <v>0.04</v>
      </c>
      <c r="AE6" s="4">
        <v>0.03</v>
      </c>
    </row>
    <row r="9" spans="1:31" x14ac:dyDescent="0.2">
      <c r="B9" t="s">
        <v>124</v>
      </c>
      <c r="C9" t="s">
        <v>121</v>
      </c>
      <c r="D9" t="s">
        <v>122</v>
      </c>
      <c r="E9" t="s">
        <v>126</v>
      </c>
      <c r="F9" t="s">
        <v>125</v>
      </c>
      <c r="G9" t="s">
        <v>123</v>
      </c>
      <c r="H9" t="s">
        <v>127</v>
      </c>
      <c r="I9" t="s">
        <v>128</v>
      </c>
      <c r="X9" t="s">
        <v>122</v>
      </c>
      <c r="Y9" t="s">
        <v>121</v>
      </c>
      <c r="Z9" t="s">
        <v>123</v>
      </c>
      <c r="AA9" t="s">
        <v>124</v>
      </c>
      <c r="AB9" t="s">
        <v>125</v>
      </c>
      <c r="AC9" t="s">
        <v>126</v>
      </c>
      <c r="AD9" t="s">
        <v>127</v>
      </c>
      <c r="AE9" t="s">
        <v>128</v>
      </c>
    </row>
    <row r="10" spans="1:31" x14ac:dyDescent="0.2">
      <c r="A10" t="s">
        <v>75</v>
      </c>
      <c r="B10" s="4">
        <v>0.56000000000000005</v>
      </c>
      <c r="C10" s="4">
        <v>0.49</v>
      </c>
      <c r="D10" s="4">
        <v>0.68</v>
      </c>
      <c r="E10" s="4">
        <v>0.22</v>
      </c>
      <c r="F10" s="4">
        <v>0.3</v>
      </c>
      <c r="G10" s="4">
        <v>0.26</v>
      </c>
      <c r="H10" s="4">
        <v>0.03</v>
      </c>
      <c r="I10" s="4">
        <v>0.02</v>
      </c>
      <c r="W10" t="s">
        <v>75</v>
      </c>
      <c r="X10" s="4">
        <v>0.68</v>
      </c>
      <c r="Y10" s="4">
        <v>0.49</v>
      </c>
      <c r="Z10" s="4">
        <v>0.26</v>
      </c>
      <c r="AA10" s="4">
        <v>0.56000000000000005</v>
      </c>
      <c r="AB10" s="4">
        <v>0.3</v>
      </c>
      <c r="AC10" s="4">
        <v>0.22</v>
      </c>
      <c r="AD10" s="4">
        <v>0.03</v>
      </c>
      <c r="AE10" s="4">
        <v>0.02</v>
      </c>
    </row>
    <row r="11" spans="1:31" x14ac:dyDescent="0.2">
      <c r="A11" t="s">
        <v>86</v>
      </c>
      <c r="B11" s="4">
        <v>0.56999999999999995</v>
      </c>
      <c r="C11" s="4">
        <v>0.53</v>
      </c>
      <c r="D11" s="4">
        <v>0.68</v>
      </c>
      <c r="E11" s="4">
        <v>0.36</v>
      </c>
      <c r="F11" s="4">
        <v>0.35</v>
      </c>
      <c r="G11" s="4">
        <v>0.32</v>
      </c>
      <c r="H11" s="4">
        <v>0.04</v>
      </c>
      <c r="I11" s="4">
        <v>0.02</v>
      </c>
      <c r="W11" t="s">
        <v>86</v>
      </c>
      <c r="X11" s="4">
        <v>0.68</v>
      </c>
      <c r="Y11" s="4">
        <v>0.53</v>
      </c>
      <c r="Z11" s="4">
        <v>0.32</v>
      </c>
      <c r="AA11" s="4">
        <v>0.56999999999999995</v>
      </c>
      <c r="AB11" s="4">
        <v>0.35</v>
      </c>
      <c r="AC11" s="4">
        <v>0.36</v>
      </c>
      <c r="AD11" s="4">
        <v>0.04</v>
      </c>
      <c r="AE11" s="4">
        <v>0.02</v>
      </c>
    </row>
    <row r="12" spans="1:31" x14ac:dyDescent="0.2">
      <c r="A12" t="s">
        <v>129</v>
      </c>
      <c r="B12" s="4">
        <v>0.5</v>
      </c>
      <c r="C12" s="4">
        <v>0.52</v>
      </c>
      <c r="D12" s="4">
        <v>0.27</v>
      </c>
      <c r="E12" s="4">
        <v>0.68</v>
      </c>
      <c r="F12" s="4">
        <v>0.4</v>
      </c>
      <c r="G12" s="4">
        <v>0.41</v>
      </c>
      <c r="H12" s="4">
        <v>0.06</v>
      </c>
      <c r="I12" s="4">
        <v>0.04</v>
      </c>
      <c r="W12" t="s">
        <v>129</v>
      </c>
      <c r="X12" s="4">
        <v>0.27</v>
      </c>
      <c r="Y12" s="4">
        <v>0.52</v>
      </c>
      <c r="Z12" s="4">
        <v>0.41</v>
      </c>
      <c r="AA12" s="4">
        <v>0.5</v>
      </c>
      <c r="AB12" s="4">
        <v>0.4</v>
      </c>
      <c r="AC12" s="4">
        <v>0.68</v>
      </c>
      <c r="AD12" s="4">
        <v>0.06</v>
      </c>
      <c r="AE12" s="4">
        <v>0.04</v>
      </c>
    </row>
    <row r="15" spans="1:31" x14ac:dyDescent="0.2">
      <c r="B15" s="4"/>
      <c r="C15" s="4"/>
      <c r="D15" s="4"/>
      <c r="E15" s="4"/>
      <c r="F15" s="4"/>
      <c r="G15" s="4"/>
      <c r="H15" s="4"/>
      <c r="I15" s="4"/>
      <c r="X15" t="s">
        <v>131</v>
      </c>
      <c r="Y15" t="s">
        <v>121</v>
      </c>
      <c r="Z15" t="s">
        <v>123</v>
      </c>
      <c r="AA15" t="s">
        <v>124</v>
      </c>
      <c r="AB15" t="s">
        <v>125</v>
      </c>
      <c r="AC15" t="s">
        <v>170</v>
      </c>
      <c r="AD15" t="s">
        <v>191</v>
      </c>
      <c r="AE15" t="s">
        <v>128</v>
      </c>
    </row>
    <row r="16" spans="1:31" x14ac:dyDescent="0.2">
      <c r="B16" t="s">
        <v>122</v>
      </c>
      <c r="C16" t="s">
        <v>126</v>
      </c>
      <c r="D16" t="s">
        <v>123</v>
      </c>
      <c r="E16" s="4"/>
      <c r="F16" s="4"/>
      <c r="G16" s="4"/>
      <c r="H16" s="4"/>
      <c r="I16" s="4"/>
      <c r="W16" t="s">
        <v>150</v>
      </c>
      <c r="X16" s="4">
        <v>0.78</v>
      </c>
      <c r="Y16" s="4">
        <v>0.59</v>
      </c>
      <c r="Z16" s="4">
        <v>0.33</v>
      </c>
      <c r="AA16" s="4">
        <v>0.5</v>
      </c>
      <c r="AB16" s="4">
        <v>0.17</v>
      </c>
      <c r="AC16" s="4">
        <v>0.26</v>
      </c>
      <c r="AD16" s="4">
        <v>0</v>
      </c>
      <c r="AE16" s="4">
        <v>0.02</v>
      </c>
    </row>
    <row r="17" spans="1:38" x14ac:dyDescent="0.2">
      <c r="A17" t="s">
        <v>75</v>
      </c>
      <c r="B17" s="4">
        <v>0.68</v>
      </c>
      <c r="C17" s="4">
        <v>0.22</v>
      </c>
      <c r="D17" s="4">
        <v>0.26</v>
      </c>
      <c r="E17" s="4"/>
      <c r="F17" s="4"/>
      <c r="G17" s="4"/>
      <c r="H17" s="4"/>
      <c r="I17" s="4"/>
      <c r="W17" t="s">
        <v>142</v>
      </c>
      <c r="X17" s="4">
        <v>0.82</v>
      </c>
      <c r="Y17" s="4">
        <v>0.56999999999999995</v>
      </c>
      <c r="Z17" s="4">
        <v>0.32</v>
      </c>
      <c r="AA17" s="4">
        <v>0.49</v>
      </c>
      <c r="AB17" s="4">
        <v>0.33</v>
      </c>
      <c r="AC17" s="4">
        <v>0.38</v>
      </c>
      <c r="AD17" s="4">
        <v>0.06</v>
      </c>
      <c r="AE17" s="4">
        <v>0.02</v>
      </c>
    </row>
    <row r="18" spans="1:38" x14ac:dyDescent="0.2">
      <c r="A18" t="s">
        <v>86</v>
      </c>
      <c r="B18" s="4">
        <v>0.68</v>
      </c>
      <c r="C18" s="4">
        <v>0.36</v>
      </c>
      <c r="D18" s="4">
        <v>0.32</v>
      </c>
      <c r="E18" s="4"/>
      <c r="F18" s="4"/>
      <c r="G18" s="4"/>
      <c r="H18" s="4"/>
      <c r="I18" s="4"/>
      <c r="W18" t="s">
        <v>168</v>
      </c>
      <c r="X18" s="4">
        <v>0.65</v>
      </c>
      <c r="Y18" s="4">
        <v>0.47</v>
      </c>
      <c r="Z18" s="4">
        <v>0.24</v>
      </c>
      <c r="AA18" s="4">
        <v>0.6</v>
      </c>
      <c r="AB18" s="4">
        <v>0.32</v>
      </c>
      <c r="AC18" s="4">
        <v>0.19</v>
      </c>
      <c r="AD18" s="4">
        <v>0.03</v>
      </c>
      <c r="AE18" s="4">
        <v>0.01</v>
      </c>
    </row>
    <row r="19" spans="1:38" x14ac:dyDescent="0.2">
      <c r="A19" t="s">
        <v>129</v>
      </c>
      <c r="B19" s="4">
        <v>0.27</v>
      </c>
      <c r="C19" s="4">
        <v>0.68</v>
      </c>
      <c r="D19" s="4">
        <v>0.41</v>
      </c>
      <c r="E19" s="4"/>
      <c r="F19" s="7"/>
      <c r="G19" s="7"/>
      <c r="H19" s="7"/>
      <c r="W19" t="s">
        <v>149</v>
      </c>
      <c r="X19" s="4">
        <v>0.77</v>
      </c>
      <c r="Y19" s="4">
        <v>0.55000000000000004</v>
      </c>
      <c r="Z19" s="4">
        <v>0.35</v>
      </c>
      <c r="AA19" s="4">
        <v>0.52</v>
      </c>
      <c r="AB19" s="4">
        <v>0.32</v>
      </c>
      <c r="AC19" s="4">
        <v>0.25</v>
      </c>
      <c r="AD19" s="4">
        <v>0.03</v>
      </c>
      <c r="AE19" s="4">
        <v>0.04</v>
      </c>
    </row>
    <row r="22" spans="1:38" x14ac:dyDescent="0.2">
      <c r="B22" t="s">
        <v>122</v>
      </c>
      <c r="C22" t="s">
        <v>121</v>
      </c>
      <c r="D22" t="s">
        <v>126</v>
      </c>
      <c r="E22" t="s">
        <v>123</v>
      </c>
    </row>
    <row r="23" spans="1:38" x14ac:dyDescent="0.2">
      <c r="A23" t="s">
        <v>95</v>
      </c>
      <c r="B23" s="4">
        <v>0.47</v>
      </c>
      <c r="C23" s="4">
        <v>0.37</v>
      </c>
      <c r="D23" s="4">
        <v>0.28000000000000003</v>
      </c>
      <c r="E23" s="4">
        <v>0.24</v>
      </c>
    </row>
    <row r="24" spans="1:38" x14ac:dyDescent="0.2">
      <c r="A24" t="s">
        <v>96</v>
      </c>
      <c r="B24" s="4">
        <v>0.6</v>
      </c>
      <c r="C24" s="4">
        <v>0.5</v>
      </c>
      <c r="D24" s="4">
        <v>0.43</v>
      </c>
      <c r="E24" s="4">
        <v>0.35</v>
      </c>
    </row>
    <row r="25" spans="1:38" x14ac:dyDescent="0.2">
      <c r="A25" t="s">
        <v>97</v>
      </c>
      <c r="B25" s="4">
        <v>0.57999999999999996</v>
      </c>
      <c r="C25" s="4">
        <v>0.62</v>
      </c>
      <c r="D25" s="4">
        <v>0.57999999999999996</v>
      </c>
      <c r="E25" s="4">
        <v>0.4</v>
      </c>
    </row>
    <row r="30" spans="1:38" x14ac:dyDescent="0.2">
      <c r="L30" s="1"/>
      <c r="N30" s="1"/>
      <c r="S30" s="1"/>
      <c r="U30" s="1"/>
      <c r="W30" s="1"/>
      <c r="Z30" s="1"/>
      <c r="AB30" s="1"/>
      <c r="AE30" s="1"/>
      <c r="AJ30" s="1"/>
      <c r="AL30" s="1"/>
    </row>
    <row r="34" spans="24:24" x14ac:dyDescent="0.2">
      <c r="X34" s="1"/>
    </row>
    <row r="60" spans="12:38" x14ac:dyDescent="0.2">
      <c r="L60" s="1"/>
      <c r="N60" s="1"/>
      <c r="Q60" s="1"/>
      <c r="S60" s="1"/>
      <c r="U60" s="1"/>
      <c r="W60" s="1"/>
      <c r="Z60" s="1"/>
      <c r="AB60" s="1"/>
      <c r="AE60" s="1"/>
      <c r="AJ60" s="1"/>
      <c r="AL60" s="1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814BE-710F-BE46-BF93-5B3221C16A38}">
  <dimension ref="A1:D20"/>
  <sheetViews>
    <sheetView tabSelected="1" topLeftCell="D1" workbookViewId="0">
      <selection activeCell="R24" sqref="R24"/>
    </sheetView>
  </sheetViews>
  <sheetFormatPr baseColWidth="10" defaultRowHeight="16" x14ac:dyDescent="0.2"/>
  <sheetData>
    <row r="1" spans="1:4" x14ac:dyDescent="0.2">
      <c r="A1" t="s">
        <v>85</v>
      </c>
    </row>
    <row r="2" spans="1:4" x14ac:dyDescent="0.2">
      <c r="B2" t="s">
        <v>126</v>
      </c>
      <c r="C2" t="s">
        <v>192</v>
      </c>
      <c r="D2" t="s">
        <v>123</v>
      </c>
    </row>
    <row r="3" spans="1:4" x14ac:dyDescent="0.2">
      <c r="A3" t="s">
        <v>150</v>
      </c>
      <c r="B3" s="4">
        <v>0.26</v>
      </c>
      <c r="C3" s="4">
        <v>0.17</v>
      </c>
      <c r="D3" s="4">
        <v>0.33</v>
      </c>
    </row>
    <row r="4" spans="1:4" x14ac:dyDescent="0.2">
      <c r="A4" t="s">
        <v>142</v>
      </c>
      <c r="B4" s="4">
        <v>0.38</v>
      </c>
      <c r="C4" s="4">
        <v>0.33</v>
      </c>
      <c r="D4" s="4">
        <v>0.32</v>
      </c>
    </row>
    <row r="5" spans="1:4" x14ac:dyDescent="0.2">
      <c r="A5" t="s">
        <v>195</v>
      </c>
      <c r="B5" s="4">
        <v>0.19</v>
      </c>
      <c r="C5" s="4">
        <v>0.32</v>
      </c>
      <c r="D5" s="4">
        <v>0.24</v>
      </c>
    </row>
    <row r="6" spans="1:4" x14ac:dyDescent="0.2">
      <c r="A6" t="s">
        <v>149</v>
      </c>
      <c r="B6" s="4">
        <v>0.25</v>
      </c>
      <c r="C6" s="4">
        <v>0.32</v>
      </c>
      <c r="D6" s="4">
        <v>0.35</v>
      </c>
    </row>
    <row r="7" spans="1:4" x14ac:dyDescent="0.2">
      <c r="B7" s="4"/>
      <c r="C7" s="4"/>
      <c r="D7" s="4"/>
    </row>
    <row r="8" spans="1:4" x14ac:dyDescent="0.2">
      <c r="A8" t="s">
        <v>196</v>
      </c>
      <c r="C8" s="4"/>
    </row>
    <row r="9" spans="1:4" x14ac:dyDescent="0.2">
      <c r="B9" t="s">
        <v>126</v>
      </c>
      <c r="C9" t="s">
        <v>192</v>
      </c>
      <c r="D9" t="s">
        <v>123</v>
      </c>
    </row>
    <row r="10" spans="1:4" x14ac:dyDescent="0.2">
      <c r="A10" t="s">
        <v>150</v>
      </c>
      <c r="B10" s="4">
        <v>0.43</v>
      </c>
      <c r="C10" s="4">
        <v>0.22</v>
      </c>
      <c r="D10" s="4">
        <v>0.4</v>
      </c>
    </row>
    <row r="11" spans="1:4" x14ac:dyDescent="0.2">
      <c r="A11" t="s">
        <v>142</v>
      </c>
      <c r="B11" s="4">
        <v>0.55000000000000004</v>
      </c>
      <c r="C11" s="4">
        <v>0.41</v>
      </c>
      <c r="D11" s="4">
        <v>0.36</v>
      </c>
    </row>
    <row r="12" spans="1:4" x14ac:dyDescent="0.2">
      <c r="A12" t="s">
        <v>195</v>
      </c>
      <c r="B12" s="4">
        <v>0.32</v>
      </c>
      <c r="C12" s="4">
        <v>0.35</v>
      </c>
      <c r="D12" s="4">
        <v>0.28000000000000003</v>
      </c>
    </row>
    <row r="13" spans="1:4" x14ac:dyDescent="0.2">
      <c r="A13" t="s">
        <v>149</v>
      </c>
      <c r="B13" s="4">
        <v>0.42</v>
      </c>
      <c r="C13" s="4">
        <v>0.43</v>
      </c>
      <c r="D13" s="4">
        <v>0.41</v>
      </c>
    </row>
    <row r="15" spans="1:4" x14ac:dyDescent="0.2">
      <c r="A15" t="s">
        <v>197</v>
      </c>
    </row>
    <row r="16" spans="1:4" x14ac:dyDescent="0.2">
      <c r="B16" t="s">
        <v>126</v>
      </c>
      <c r="C16" t="s">
        <v>192</v>
      </c>
      <c r="D16" t="s">
        <v>123</v>
      </c>
    </row>
    <row r="17" spans="1:4" x14ac:dyDescent="0.2">
      <c r="A17" t="s">
        <v>150</v>
      </c>
      <c r="B17" s="4">
        <v>0.52</v>
      </c>
      <c r="C17" s="4">
        <v>0.22</v>
      </c>
      <c r="D17" s="4">
        <v>0.56000000000000005</v>
      </c>
    </row>
    <row r="18" spans="1:4" x14ac:dyDescent="0.2">
      <c r="A18" t="s">
        <v>142</v>
      </c>
      <c r="B18" s="4">
        <v>0.81</v>
      </c>
      <c r="C18" s="4">
        <v>0.36</v>
      </c>
      <c r="D18" s="4">
        <v>0.37</v>
      </c>
    </row>
    <row r="19" spans="1:4" x14ac:dyDescent="0.2">
      <c r="A19" t="s">
        <v>195</v>
      </c>
      <c r="B19" s="4">
        <v>0.5</v>
      </c>
      <c r="C19" s="4">
        <v>0.4</v>
      </c>
      <c r="D19" s="4">
        <v>0.38</v>
      </c>
    </row>
    <row r="20" spans="1:4" x14ac:dyDescent="0.2">
      <c r="A20" t="s">
        <v>149</v>
      </c>
      <c r="B20" s="4">
        <v>0.74</v>
      </c>
      <c r="C20" s="4">
        <v>0.43</v>
      </c>
      <c r="D20" s="4">
        <v>0.43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6FA06-C8F2-8045-B5F8-85866FAA9BD2}">
  <dimension ref="A1:Q39"/>
  <sheetViews>
    <sheetView zoomScale="99" workbookViewId="0">
      <selection activeCell="N30" sqref="N30"/>
    </sheetView>
  </sheetViews>
  <sheetFormatPr baseColWidth="10" defaultRowHeight="16" x14ac:dyDescent="0.2"/>
  <cols>
    <col min="9" max="9" width="15.5" customWidth="1"/>
  </cols>
  <sheetData>
    <row r="1" spans="1:17" x14ac:dyDescent="0.2">
      <c r="A1" t="s">
        <v>47</v>
      </c>
      <c r="H1" t="s">
        <v>108</v>
      </c>
      <c r="N1" t="s">
        <v>110</v>
      </c>
    </row>
    <row r="2" spans="1:17" x14ac:dyDescent="0.2">
      <c r="B2" t="s">
        <v>41</v>
      </c>
      <c r="C2" t="s">
        <v>1</v>
      </c>
      <c r="D2" t="s">
        <v>2</v>
      </c>
      <c r="E2" t="s">
        <v>3</v>
      </c>
      <c r="H2" t="s">
        <v>107</v>
      </c>
      <c r="I2" t="s">
        <v>1</v>
      </c>
      <c r="J2" t="s">
        <v>2</v>
      </c>
      <c r="K2" t="s">
        <v>3</v>
      </c>
      <c r="N2" t="s">
        <v>109</v>
      </c>
      <c r="O2" t="s">
        <v>1</v>
      </c>
      <c r="P2" t="s">
        <v>2</v>
      </c>
      <c r="Q2" t="s">
        <v>3</v>
      </c>
    </row>
    <row r="3" spans="1:17" x14ac:dyDescent="0.2">
      <c r="J3" s="4"/>
    </row>
    <row r="4" spans="1:17" x14ac:dyDescent="0.2">
      <c r="A4" t="s">
        <v>111</v>
      </c>
      <c r="B4" t="s">
        <v>43</v>
      </c>
      <c r="C4">
        <v>895</v>
      </c>
      <c r="D4">
        <v>11.25</v>
      </c>
      <c r="E4">
        <v>11.25</v>
      </c>
      <c r="H4" t="s">
        <v>50</v>
      </c>
      <c r="I4" s="1">
        <v>1369</v>
      </c>
      <c r="J4">
        <v>17.21</v>
      </c>
      <c r="K4">
        <v>17.21</v>
      </c>
      <c r="N4" t="s">
        <v>50</v>
      </c>
      <c r="O4" s="1">
        <v>1112</v>
      </c>
      <c r="P4">
        <v>14</v>
      </c>
      <c r="Q4">
        <v>14</v>
      </c>
    </row>
    <row r="5" spans="1:17" x14ac:dyDescent="0.2">
      <c r="A5" t="s">
        <v>44</v>
      </c>
      <c r="B5" t="s">
        <v>43</v>
      </c>
      <c r="C5" s="1">
        <v>2067</v>
      </c>
      <c r="D5">
        <v>25.98</v>
      </c>
      <c r="E5">
        <v>37.229999999999997</v>
      </c>
      <c r="H5" t="s">
        <v>51</v>
      </c>
      <c r="I5" s="1">
        <v>2028</v>
      </c>
      <c r="J5">
        <v>25.49</v>
      </c>
      <c r="K5">
        <v>42.7</v>
      </c>
      <c r="N5" t="s">
        <v>51</v>
      </c>
      <c r="O5" s="1">
        <v>2758</v>
      </c>
      <c r="P5">
        <v>34.72</v>
      </c>
      <c r="Q5">
        <v>48.72</v>
      </c>
    </row>
    <row r="6" spans="1:17" x14ac:dyDescent="0.2">
      <c r="A6" t="s">
        <v>45</v>
      </c>
      <c r="B6" t="s">
        <v>43</v>
      </c>
      <c r="C6" s="1">
        <v>2517</v>
      </c>
      <c r="D6">
        <v>31.63</v>
      </c>
      <c r="E6">
        <v>68.86</v>
      </c>
      <c r="H6" t="s">
        <v>52</v>
      </c>
      <c r="I6" s="1">
        <v>2367</v>
      </c>
      <c r="J6">
        <v>29.75</v>
      </c>
      <c r="K6">
        <v>72.45</v>
      </c>
      <c r="N6" t="s">
        <v>52</v>
      </c>
      <c r="O6" s="1">
        <v>2613</v>
      </c>
      <c r="P6">
        <v>32.9</v>
      </c>
      <c r="Q6">
        <v>81.62</v>
      </c>
    </row>
    <row r="7" spans="1:17" x14ac:dyDescent="0.2">
      <c r="A7" t="s">
        <v>46</v>
      </c>
      <c r="B7" t="s">
        <v>43</v>
      </c>
      <c r="C7" s="1">
        <v>2478</v>
      </c>
      <c r="D7">
        <v>31.14</v>
      </c>
      <c r="E7">
        <v>100</v>
      </c>
      <c r="H7" t="s">
        <v>53</v>
      </c>
      <c r="I7" s="1">
        <v>2192</v>
      </c>
      <c r="J7">
        <v>27.55</v>
      </c>
      <c r="K7">
        <v>100</v>
      </c>
      <c r="N7" t="s">
        <v>53</v>
      </c>
      <c r="O7" s="1">
        <v>1460</v>
      </c>
      <c r="P7">
        <v>18.38</v>
      </c>
      <c r="Q7">
        <v>100</v>
      </c>
    </row>
    <row r="8" spans="1:17" x14ac:dyDescent="0.2">
      <c r="C8" s="1"/>
    </row>
    <row r="9" spans="1:17" x14ac:dyDescent="0.2">
      <c r="B9" t="s">
        <v>4</v>
      </c>
      <c r="C9" s="1">
        <v>7957</v>
      </c>
      <c r="D9">
        <v>100</v>
      </c>
      <c r="H9" t="s">
        <v>4</v>
      </c>
      <c r="I9" s="1">
        <v>7956</v>
      </c>
      <c r="J9">
        <v>100</v>
      </c>
      <c r="N9" t="s">
        <v>4</v>
      </c>
      <c r="O9" s="1">
        <v>7943</v>
      </c>
      <c r="P9">
        <v>100</v>
      </c>
    </row>
    <row r="10" spans="1:17" x14ac:dyDescent="0.2">
      <c r="C10" s="1"/>
    </row>
    <row r="12" spans="1:17" x14ac:dyDescent="0.2">
      <c r="D12" t="s">
        <v>112</v>
      </c>
      <c r="E12" t="s">
        <v>113</v>
      </c>
      <c r="F12" t="s">
        <v>114</v>
      </c>
    </row>
    <row r="13" spans="1:17" x14ac:dyDescent="0.2">
      <c r="C13" t="s">
        <v>111</v>
      </c>
      <c r="D13" s="4">
        <v>0.11</v>
      </c>
      <c r="E13" s="4">
        <v>0.17</v>
      </c>
      <c r="F13" s="4">
        <v>0.14000000000000001</v>
      </c>
    </row>
    <row r="14" spans="1:17" x14ac:dyDescent="0.2">
      <c r="C14" t="s">
        <v>44</v>
      </c>
      <c r="D14" s="4">
        <v>0.26</v>
      </c>
      <c r="E14" s="4">
        <v>0.25</v>
      </c>
      <c r="F14" s="4">
        <v>0.35</v>
      </c>
    </row>
    <row r="15" spans="1:17" x14ac:dyDescent="0.2">
      <c r="C15" t="s">
        <v>45</v>
      </c>
      <c r="D15" s="4">
        <v>0.32</v>
      </c>
      <c r="E15" s="4">
        <v>0.3</v>
      </c>
      <c r="F15" s="4">
        <v>0.33</v>
      </c>
    </row>
    <row r="16" spans="1:17" x14ac:dyDescent="0.2">
      <c r="C16" t="s">
        <v>46</v>
      </c>
      <c r="D16" s="4">
        <v>0.31</v>
      </c>
      <c r="E16" s="4">
        <v>0.28000000000000003</v>
      </c>
      <c r="F16" s="4">
        <v>0.18</v>
      </c>
    </row>
    <row r="17" spans="3:6" x14ac:dyDescent="0.2">
      <c r="C17" s="3"/>
      <c r="D17" s="4"/>
      <c r="E17" s="4"/>
    </row>
    <row r="21" spans="3:6" x14ac:dyDescent="0.2">
      <c r="D21" s="4"/>
      <c r="E21" s="4"/>
      <c r="F21" s="4"/>
    </row>
    <row r="22" spans="3:6" x14ac:dyDescent="0.2">
      <c r="D22" s="4"/>
      <c r="E22" s="4"/>
      <c r="F22" s="4"/>
    </row>
    <row r="23" spans="3:6" x14ac:dyDescent="0.2">
      <c r="D23" s="4"/>
      <c r="E23" s="4"/>
      <c r="F23" s="4"/>
    </row>
    <row r="39" spans="3:6" x14ac:dyDescent="0.2">
      <c r="C39" s="1"/>
      <c r="D39" s="1"/>
      <c r="E39" s="1"/>
      <c r="F39" s="1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AC4B-2BF7-1C45-BCC7-06A578F847F6}">
  <dimension ref="A1:U35"/>
  <sheetViews>
    <sheetView topLeftCell="A8" workbookViewId="0">
      <selection activeCell="M32" sqref="M32:M34"/>
    </sheetView>
  </sheetViews>
  <sheetFormatPr baseColWidth="10" defaultRowHeight="16" x14ac:dyDescent="0.2"/>
  <cols>
    <col min="1" max="1" width="15.5" customWidth="1"/>
  </cols>
  <sheetData>
    <row r="1" spans="1:21" x14ac:dyDescent="0.2">
      <c r="C1" t="s">
        <v>112</v>
      </c>
      <c r="K1" t="s">
        <v>113</v>
      </c>
      <c r="R1" t="s">
        <v>115</v>
      </c>
    </row>
    <row r="2" spans="1:21" x14ac:dyDescent="0.2">
      <c r="A2" t="s">
        <v>88</v>
      </c>
      <c r="C2" t="s">
        <v>42</v>
      </c>
      <c r="D2" t="s">
        <v>44</v>
      </c>
      <c r="E2" t="s">
        <v>45</v>
      </c>
      <c r="F2" t="s">
        <v>48</v>
      </c>
      <c r="G2" t="s">
        <v>4</v>
      </c>
      <c r="J2" t="s">
        <v>42</v>
      </c>
      <c r="K2" t="s">
        <v>44</v>
      </c>
      <c r="L2" t="s">
        <v>45</v>
      </c>
      <c r="M2" t="s">
        <v>48</v>
      </c>
      <c r="N2" t="s">
        <v>4</v>
      </c>
      <c r="Q2" t="s">
        <v>42</v>
      </c>
      <c r="R2" t="s">
        <v>44</v>
      </c>
      <c r="S2" t="s">
        <v>45</v>
      </c>
      <c r="T2" t="s">
        <v>48</v>
      </c>
      <c r="U2" t="s">
        <v>4</v>
      </c>
    </row>
    <row r="4" spans="1:21" x14ac:dyDescent="0.2">
      <c r="B4" t="s">
        <v>75</v>
      </c>
      <c r="C4">
        <v>163</v>
      </c>
      <c r="D4">
        <v>590</v>
      </c>
      <c r="E4">
        <v>854</v>
      </c>
      <c r="F4">
        <v>884</v>
      </c>
      <c r="G4" s="1">
        <v>2491</v>
      </c>
      <c r="I4" t="s">
        <v>75</v>
      </c>
      <c r="J4">
        <v>319</v>
      </c>
      <c r="K4">
        <v>580</v>
      </c>
      <c r="L4">
        <v>753</v>
      </c>
      <c r="M4">
        <v>836</v>
      </c>
      <c r="N4" s="1">
        <v>2488</v>
      </c>
      <c r="P4" t="s">
        <v>75</v>
      </c>
      <c r="Q4">
        <v>290</v>
      </c>
      <c r="R4">
        <v>843</v>
      </c>
      <c r="S4">
        <v>834</v>
      </c>
      <c r="T4">
        <v>518</v>
      </c>
      <c r="U4" s="1">
        <v>2485</v>
      </c>
    </row>
    <row r="5" spans="1:21" x14ac:dyDescent="0.2">
      <c r="C5">
        <v>6.54</v>
      </c>
      <c r="D5">
        <v>23.69</v>
      </c>
      <c r="E5">
        <v>34.28</v>
      </c>
      <c r="F5">
        <v>35.49</v>
      </c>
      <c r="G5">
        <v>100</v>
      </c>
      <c r="J5">
        <v>12.82</v>
      </c>
      <c r="K5">
        <v>23.31</v>
      </c>
      <c r="L5">
        <v>30.27</v>
      </c>
      <c r="M5">
        <v>33.6</v>
      </c>
      <c r="N5">
        <v>100</v>
      </c>
      <c r="Q5">
        <v>11.67</v>
      </c>
      <c r="R5">
        <v>33.92</v>
      </c>
      <c r="S5">
        <v>33.56</v>
      </c>
      <c r="T5">
        <v>20.85</v>
      </c>
      <c r="U5">
        <v>100</v>
      </c>
    </row>
    <row r="7" spans="1:21" x14ac:dyDescent="0.2">
      <c r="B7" t="s">
        <v>80</v>
      </c>
      <c r="C7">
        <v>135</v>
      </c>
      <c r="D7">
        <v>429</v>
      </c>
      <c r="E7">
        <v>556</v>
      </c>
      <c r="F7">
        <v>578</v>
      </c>
      <c r="G7" s="1">
        <v>1698</v>
      </c>
      <c r="I7" t="s">
        <v>80</v>
      </c>
      <c r="J7">
        <v>255</v>
      </c>
      <c r="K7">
        <v>432</v>
      </c>
      <c r="L7">
        <v>517</v>
      </c>
      <c r="M7">
        <v>495</v>
      </c>
      <c r="N7" s="1">
        <v>1699</v>
      </c>
      <c r="P7" t="s">
        <v>80</v>
      </c>
      <c r="Q7">
        <v>222</v>
      </c>
      <c r="R7">
        <v>559</v>
      </c>
      <c r="S7">
        <v>565</v>
      </c>
      <c r="T7">
        <v>348</v>
      </c>
      <c r="U7" s="1">
        <v>1694</v>
      </c>
    </row>
    <row r="8" spans="1:21" x14ac:dyDescent="0.2">
      <c r="C8">
        <v>7.95</v>
      </c>
      <c r="D8">
        <v>25.27</v>
      </c>
      <c r="E8">
        <v>32.74</v>
      </c>
      <c r="F8">
        <v>34.04</v>
      </c>
      <c r="G8">
        <v>100</v>
      </c>
      <c r="J8">
        <v>15.01</v>
      </c>
      <c r="K8">
        <v>25.43</v>
      </c>
      <c r="L8">
        <v>30.43</v>
      </c>
      <c r="M8">
        <v>29.13</v>
      </c>
      <c r="N8">
        <v>100</v>
      </c>
      <c r="Q8">
        <v>13.11</v>
      </c>
      <c r="R8">
        <v>33</v>
      </c>
      <c r="S8">
        <v>33.35</v>
      </c>
      <c r="T8">
        <v>20.54</v>
      </c>
      <c r="U8">
        <v>100</v>
      </c>
    </row>
    <row r="10" spans="1:21" x14ac:dyDescent="0.2">
      <c r="B10" t="s">
        <v>84</v>
      </c>
      <c r="C10">
        <v>512</v>
      </c>
      <c r="D10">
        <v>862</v>
      </c>
      <c r="E10">
        <v>854</v>
      </c>
      <c r="F10">
        <v>766</v>
      </c>
      <c r="G10" s="1">
        <v>2994</v>
      </c>
      <c r="I10" t="s">
        <v>84</v>
      </c>
      <c r="J10">
        <v>656</v>
      </c>
      <c r="K10">
        <v>844</v>
      </c>
      <c r="L10">
        <v>834</v>
      </c>
      <c r="M10">
        <v>659</v>
      </c>
      <c r="N10" s="1">
        <v>2993</v>
      </c>
      <c r="P10" t="s">
        <v>84</v>
      </c>
      <c r="Q10">
        <v>484</v>
      </c>
      <c r="R10" s="1">
        <v>1105</v>
      </c>
      <c r="S10">
        <v>958</v>
      </c>
      <c r="T10">
        <v>442</v>
      </c>
      <c r="U10" s="1">
        <v>2989</v>
      </c>
    </row>
    <row r="11" spans="1:21" x14ac:dyDescent="0.2">
      <c r="C11">
        <v>17.100000000000001</v>
      </c>
      <c r="D11">
        <v>28.79</v>
      </c>
      <c r="E11">
        <v>28.52</v>
      </c>
      <c r="F11">
        <v>25.58</v>
      </c>
      <c r="G11">
        <v>100</v>
      </c>
      <c r="J11">
        <v>21.92</v>
      </c>
      <c r="K11">
        <v>28.2</v>
      </c>
      <c r="L11">
        <v>27.87</v>
      </c>
      <c r="M11">
        <v>22.02</v>
      </c>
      <c r="N11">
        <v>100</v>
      </c>
      <c r="Q11">
        <v>16.190000000000001</v>
      </c>
      <c r="R11">
        <v>36.97</v>
      </c>
      <c r="S11">
        <v>32.049999999999997</v>
      </c>
      <c r="T11">
        <v>14.79</v>
      </c>
      <c r="U11">
        <v>100</v>
      </c>
    </row>
    <row r="13" spans="1:21" x14ac:dyDescent="0.2">
      <c r="B13" t="s">
        <v>40</v>
      </c>
      <c r="C13">
        <v>85</v>
      </c>
      <c r="D13">
        <v>186</v>
      </c>
      <c r="E13">
        <v>253</v>
      </c>
      <c r="F13">
        <v>250</v>
      </c>
      <c r="G13">
        <v>774</v>
      </c>
      <c r="I13" t="s">
        <v>40</v>
      </c>
      <c r="J13">
        <v>139</v>
      </c>
      <c r="K13">
        <v>172</v>
      </c>
      <c r="L13">
        <v>263</v>
      </c>
      <c r="M13">
        <v>202</v>
      </c>
      <c r="N13">
        <v>776</v>
      </c>
      <c r="P13" t="s">
        <v>40</v>
      </c>
      <c r="Q13">
        <v>116</v>
      </c>
      <c r="R13">
        <v>251</v>
      </c>
      <c r="S13">
        <v>256</v>
      </c>
      <c r="T13">
        <v>152</v>
      </c>
      <c r="U13">
        <v>775</v>
      </c>
    </row>
    <row r="14" spans="1:21" x14ac:dyDescent="0.2">
      <c r="C14">
        <v>10.98</v>
      </c>
      <c r="D14">
        <v>24.03</v>
      </c>
      <c r="E14">
        <v>32.69</v>
      </c>
      <c r="F14">
        <v>32.299999999999997</v>
      </c>
      <c r="G14">
        <v>100</v>
      </c>
      <c r="J14">
        <v>17.91</v>
      </c>
      <c r="K14">
        <v>22.16</v>
      </c>
      <c r="L14">
        <v>33.89</v>
      </c>
      <c r="M14">
        <v>26.03</v>
      </c>
      <c r="N14">
        <v>100</v>
      </c>
      <c r="Q14">
        <v>14.97</v>
      </c>
      <c r="R14">
        <v>32.39</v>
      </c>
      <c r="S14">
        <v>33.03</v>
      </c>
      <c r="T14">
        <v>19.61</v>
      </c>
      <c r="U14">
        <v>100</v>
      </c>
    </row>
    <row r="16" spans="1:21" x14ac:dyDescent="0.2">
      <c r="B16" t="s">
        <v>4</v>
      </c>
      <c r="C16">
        <v>895</v>
      </c>
      <c r="D16" s="1">
        <v>2067</v>
      </c>
      <c r="E16" s="1">
        <v>2517</v>
      </c>
      <c r="F16" s="1">
        <v>2478</v>
      </c>
      <c r="G16" s="1">
        <v>7957</v>
      </c>
      <c r="I16" t="s">
        <v>4</v>
      </c>
      <c r="J16" s="1">
        <v>1369</v>
      </c>
      <c r="K16" s="1">
        <v>2028</v>
      </c>
      <c r="L16" s="1">
        <v>2367</v>
      </c>
      <c r="M16" s="1">
        <v>2192</v>
      </c>
      <c r="N16" s="1">
        <v>7956</v>
      </c>
      <c r="P16" t="s">
        <v>4</v>
      </c>
      <c r="Q16" s="1">
        <v>1112</v>
      </c>
      <c r="R16" s="1">
        <v>2758</v>
      </c>
      <c r="S16" s="1">
        <v>2613</v>
      </c>
      <c r="T16" s="1">
        <v>1460</v>
      </c>
      <c r="U16" s="1">
        <v>7943</v>
      </c>
    </row>
    <row r="17" spans="1:21" x14ac:dyDescent="0.2">
      <c r="C17">
        <v>11.25</v>
      </c>
      <c r="D17">
        <v>25.98</v>
      </c>
      <c r="E17">
        <v>31.63</v>
      </c>
      <c r="F17">
        <v>31.14</v>
      </c>
      <c r="G17">
        <v>100</v>
      </c>
      <c r="J17">
        <v>17.21</v>
      </c>
      <c r="K17">
        <v>25.49</v>
      </c>
      <c r="L17">
        <v>29.75</v>
      </c>
      <c r="M17">
        <v>27.55</v>
      </c>
      <c r="N17">
        <v>100</v>
      </c>
      <c r="Q17">
        <v>14</v>
      </c>
      <c r="R17">
        <v>34.72</v>
      </c>
      <c r="S17">
        <v>32.9</v>
      </c>
      <c r="T17">
        <v>18.38</v>
      </c>
      <c r="U17">
        <v>100</v>
      </c>
    </row>
    <row r="19" spans="1:21" x14ac:dyDescent="0.2">
      <c r="B19" t="s">
        <v>112</v>
      </c>
      <c r="D19" t="s">
        <v>116</v>
      </c>
      <c r="F19" t="s">
        <v>117</v>
      </c>
    </row>
    <row r="20" spans="1:21" x14ac:dyDescent="0.2">
      <c r="B20" t="s">
        <v>42</v>
      </c>
      <c r="C20" t="s">
        <v>46</v>
      </c>
      <c r="D20" t="s">
        <v>42</v>
      </c>
      <c r="E20" t="s">
        <v>46</v>
      </c>
      <c r="F20" t="s">
        <v>42</v>
      </c>
      <c r="G20" t="s">
        <v>46</v>
      </c>
    </row>
    <row r="21" spans="1:21" x14ac:dyDescent="0.2">
      <c r="A21" t="s">
        <v>75</v>
      </c>
      <c r="B21" s="7">
        <v>6.54</v>
      </c>
      <c r="C21" s="7">
        <v>35.49</v>
      </c>
      <c r="D21" s="7">
        <v>12.82</v>
      </c>
      <c r="E21" s="7">
        <v>33.6</v>
      </c>
      <c r="F21" s="7">
        <v>11.67</v>
      </c>
      <c r="G21" s="7">
        <v>20.85</v>
      </c>
    </row>
    <row r="22" spans="1:21" x14ac:dyDescent="0.2">
      <c r="A22" t="s">
        <v>86</v>
      </c>
      <c r="B22" s="7">
        <v>7.95</v>
      </c>
      <c r="C22" s="7">
        <v>34.04</v>
      </c>
      <c r="D22" s="7">
        <v>15.01</v>
      </c>
      <c r="E22" s="7">
        <v>29.13</v>
      </c>
      <c r="F22" s="7">
        <v>13.11</v>
      </c>
      <c r="G22" s="7">
        <v>20.54</v>
      </c>
    </row>
    <row r="23" spans="1:21" x14ac:dyDescent="0.2">
      <c r="A23" t="s">
        <v>84</v>
      </c>
      <c r="B23" s="7">
        <v>17.100000000000001</v>
      </c>
      <c r="C23" s="7">
        <v>25.58</v>
      </c>
      <c r="D23" s="7">
        <v>21.92</v>
      </c>
      <c r="E23" s="7">
        <v>22.02</v>
      </c>
      <c r="F23" s="7">
        <v>16.190000000000001</v>
      </c>
      <c r="G23" s="7">
        <v>14.79</v>
      </c>
    </row>
    <row r="25" spans="1:21" x14ac:dyDescent="0.2">
      <c r="B25" t="s">
        <v>112</v>
      </c>
      <c r="C25" t="s">
        <v>116</v>
      </c>
      <c r="D25" t="s">
        <v>117</v>
      </c>
    </row>
    <row r="26" spans="1:21" x14ac:dyDescent="0.2">
      <c r="A26" t="s">
        <v>75</v>
      </c>
      <c r="B26" s="4">
        <v>0.35</v>
      </c>
      <c r="C26" s="4">
        <v>0.34</v>
      </c>
      <c r="D26" s="4">
        <v>0.21</v>
      </c>
      <c r="F26" s="9"/>
    </row>
    <row r="27" spans="1:21" x14ac:dyDescent="0.2">
      <c r="A27" t="s">
        <v>86</v>
      </c>
      <c r="B27" s="4">
        <v>0.34</v>
      </c>
      <c r="C27" s="4">
        <v>0.28999999999999998</v>
      </c>
      <c r="D27" s="4">
        <v>0.21</v>
      </c>
    </row>
    <row r="28" spans="1:21" x14ac:dyDescent="0.2">
      <c r="A28" t="s">
        <v>84</v>
      </c>
      <c r="B28" s="4">
        <v>0.26</v>
      </c>
      <c r="C28" s="4">
        <v>0.22</v>
      </c>
      <c r="D28" s="4">
        <v>0.15</v>
      </c>
    </row>
    <row r="30" spans="1:21" x14ac:dyDescent="0.2">
      <c r="B30" s="17" t="s">
        <v>112</v>
      </c>
      <c r="C30" s="17"/>
      <c r="E30" s="17" t="s">
        <v>113</v>
      </c>
      <c r="F30" s="17"/>
      <c r="N30" s="17" t="s">
        <v>114</v>
      </c>
      <c r="O30" s="17"/>
    </row>
    <row r="31" spans="1:21" x14ac:dyDescent="0.2">
      <c r="B31" t="s">
        <v>199</v>
      </c>
      <c r="C31" t="s">
        <v>198</v>
      </c>
      <c r="F31" t="s">
        <v>199</v>
      </c>
      <c r="G31" t="s">
        <v>198</v>
      </c>
      <c r="K31" t="s">
        <v>199</v>
      </c>
      <c r="L31" t="s">
        <v>198</v>
      </c>
    </row>
    <row r="32" spans="1:21" x14ac:dyDescent="0.2">
      <c r="A32" t="s">
        <v>75</v>
      </c>
      <c r="B32" s="4">
        <v>0.34</v>
      </c>
      <c r="C32" s="4">
        <v>0.35</v>
      </c>
      <c r="D32" s="4"/>
      <c r="E32" t="s">
        <v>75</v>
      </c>
      <c r="F32" s="4">
        <v>0.3</v>
      </c>
      <c r="G32" s="4">
        <v>0.34</v>
      </c>
      <c r="H32" s="4"/>
      <c r="J32" t="s">
        <v>75</v>
      </c>
      <c r="K32" s="4">
        <v>0.34</v>
      </c>
      <c r="L32" s="4">
        <v>0.21</v>
      </c>
      <c r="M32" s="4"/>
    </row>
    <row r="33" spans="1:13" x14ac:dyDescent="0.2">
      <c r="A33" t="s">
        <v>86</v>
      </c>
      <c r="B33" s="4">
        <v>0.33</v>
      </c>
      <c r="C33" s="4">
        <v>0.34</v>
      </c>
      <c r="D33" s="4"/>
      <c r="E33" t="s">
        <v>86</v>
      </c>
      <c r="F33" s="4">
        <v>0.3</v>
      </c>
      <c r="G33" s="4">
        <v>0.28999999999999998</v>
      </c>
      <c r="H33" s="4"/>
      <c r="J33" t="s">
        <v>86</v>
      </c>
      <c r="K33" s="4">
        <v>0.33</v>
      </c>
      <c r="L33" s="4">
        <v>0.21</v>
      </c>
      <c r="M33" s="4"/>
    </row>
    <row r="34" spans="1:13" x14ac:dyDescent="0.2">
      <c r="A34" t="s">
        <v>84</v>
      </c>
      <c r="B34" s="4">
        <v>0.28999999999999998</v>
      </c>
      <c r="C34" s="4">
        <v>0.26</v>
      </c>
      <c r="D34" s="4"/>
      <c r="E34" t="s">
        <v>84</v>
      </c>
      <c r="F34" s="4">
        <v>0.28000000000000003</v>
      </c>
      <c r="G34" s="4">
        <v>0.22</v>
      </c>
      <c r="H34" s="4"/>
      <c r="J34" t="s">
        <v>84</v>
      </c>
      <c r="K34" s="4">
        <v>0.32</v>
      </c>
      <c r="L34" s="4">
        <v>0.15</v>
      </c>
      <c r="M34" s="4"/>
    </row>
    <row r="35" spans="1:13" x14ac:dyDescent="0.2">
      <c r="B35" s="4"/>
      <c r="C35" s="4"/>
      <c r="D35" s="4"/>
      <c r="E35" s="4"/>
      <c r="F35" s="4"/>
      <c r="G35" s="4"/>
    </row>
  </sheetData>
  <mergeCells count="3">
    <mergeCell ref="B30:C30"/>
    <mergeCell ref="E30:F30"/>
    <mergeCell ref="N30:O30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72E4F-D2C1-7649-BA07-B7CA460ADFF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27AB-DAE4-F74C-8850-C0421E20AA0C}">
  <dimension ref="A1:Q46"/>
  <sheetViews>
    <sheetView workbookViewId="0">
      <selection activeCell="M7" sqref="M7"/>
    </sheetView>
  </sheetViews>
  <sheetFormatPr baseColWidth="10" defaultRowHeight="16" x14ac:dyDescent="0.2"/>
  <cols>
    <col min="2" max="2" width="23.83203125" customWidth="1"/>
  </cols>
  <sheetData>
    <row r="1" spans="1:13" x14ac:dyDescent="0.2">
      <c r="B1" t="s">
        <v>164</v>
      </c>
      <c r="C1" t="s">
        <v>1</v>
      </c>
      <c r="D1" t="s">
        <v>2</v>
      </c>
      <c r="E1" t="s">
        <v>3</v>
      </c>
    </row>
    <row r="2" spans="1:13" x14ac:dyDescent="0.2">
      <c r="A2">
        <v>1</v>
      </c>
      <c r="B2" t="s">
        <v>165</v>
      </c>
      <c r="C2">
        <v>320</v>
      </c>
      <c r="D2">
        <v>2.8</v>
      </c>
      <c r="E2">
        <v>2.8</v>
      </c>
      <c r="I2" t="s">
        <v>75</v>
      </c>
      <c r="J2" t="s">
        <v>80</v>
      </c>
      <c r="K2" t="s">
        <v>84</v>
      </c>
    </row>
    <row r="3" spans="1:13" x14ac:dyDescent="0.2">
      <c r="A3">
        <v>2</v>
      </c>
      <c r="B3" t="s">
        <v>166</v>
      </c>
      <c r="C3">
        <v>19</v>
      </c>
      <c r="D3">
        <v>0.17</v>
      </c>
      <c r="E3">
        <v>2.97</v>
      </c>
      <c r="H3" s="10" t="s">
        <v>150</v>
      </c>
      <c r="I3" s="4">
        <v>0.47252747252747251</v>
      </c>
      <c r="J3" s="4">
        <v>0.25274725274725274</v>
      </c>
      <c r="K3" s="4">
        <v>0.27472527472527475</v>
      </c>
      <c r="L3" s="4"/>
      <c r="M3">
        <f>100-27</f>
        <v>73</v>
      </c>
    </row>
    <row r="4" spans="1:13" x14ac:dyDescent="0.2">
      <c r="A4">
        <v>3</v>
      </c>
      <c r="B4" t="s">
        <v>142</v>
      </c>
      <c r="C4">
        <v>952</v>
      </c>
      <c r="D4">
        <v>8.33</v>
      </c>
      <c r="E4">
        <v>11.29</v>
      </c>
      <c r="H4" s="10" t="s">
        <v>142</v>
      </c>
      <c r="I4" s="4">
        <v>0.22945205479452055</v>
      </c>
      <c r="J4" s="4">
        <v>0.1906392694063927</v>
      </c>
      <c r="K4" s="4">
        <v>0.57990867579908678</v>
      </c>
      <c r="M4">
        <f>100-58</f>
        <v>42</v>
      </c>
    </row>
    <row r="5" spans="1:13" x14ac:dyDescent="0.2">
      <c r="A5">
        <v>4</v>
      </c>
      <c r="B5" t="s">
        <v>143</v>
      </c>
      <c r="C5">
        <v>119</v>
      </c>
      <c r="D5">
        <v>1.04</v>
      </c>
      <c r="E5">
        <v>12.33</v>
      </c>
      <c r="H5" s="10" t="s">
        <v>168</v>
      </c>
      <c r="I5" s="4">
        <v>0.50879437160217456</v>
      </c>
      <c r="J5" s="4">
        <v>0.30540454109370002</v>
      </c>
      <c r="K5" s="4">
        <v>0.18580108730412537</v>
      </c>
      <c r="M5">
        <f>100-19</f>
        <v>81</v>
      </c>
    </row>
    <row r="6" spans="1:13" x14ac:dyDescent="0.2">
      <c r="A6">
        <v>5</v>
      </c>
      <c r="B6" t="s">
        <v>144</v>
      </c>
      <c r="C6" s="1">
        <v>3564</v>
      </c>
      <c r="D6">
        <v>31.18</v>
      </c>
      <c r="E6">
        <v>43.51</v>
      </c>
      <c r="H6" s="10" t="s">
        <v>149</v>
      </c>
      <c r="I6" s="4">
        <v>0.15532646048109966</v>
      </c>
      <c r="J6" s="4">
        <v>0.15257731958762888</v>
      </c>
      <c r="K6" s="4">
        <v>0.69209621993127146</v>
      </c>
      <c r="M6">
        <f>100-69</f>
        <v>31</v>
      </c>
    </row>
    <row r="7" spans="1:13" x14ac:dyDescent="0.2">
      <c r="A7">
        <v>6</v>
      </c>
      <c r="B7" t="s">
        <v>145</v>
      </c>
      <c r="C7">
        <v>26</v>
      </c>
      <c r="D7">
        <v>0.23</v>
      </c>
      <c r="E7">
        <v>43.74</v>
      </c>
    </row>
    <row r="8" spans="1:13" x14ac:dyDescent="0.2">
      <c r="A8">
        <v>7</v>
      </c>
      <c r="B8" t="s">
        <v>146</v>
      </c>
      <c r="C8" s="1">
        <v>1553</v>
      </c>
      <c r="D8">
        <v>13.59</v>
      </c>
      <c r="E8">
        <v>57.33</v>
      </c>
    </row>
    <row r="9" spans="1:13" x14ac:dyDescent="0.2">
      <c r="A9">
        <v>8</v>
      </c>
      <c r="B9" t="s">
        <v>17</v>
      </c>
      <c r="C9">
        <v>151</v>
      </c>
      <c r="D9">
        <v>1.32</v>
      </c>
      <c r="E9">
        <v>58.65</v>
      </c>
    </row>
    <row r="10" spans="1:13" x14ac:dyDescent="0.2">
      <c r="A10">
        <v>9</v>
      </c>
      <c r="B10" t="s">
        <v>147</v>
      </c>
      <c r="C10" s="1">
        <v>1326</v>
      </c>
      <c r="D10">
        <v>11.6</v>
      </c>
      <c r="E10">
        <v>70.25</v>
      </c>
    </row>
    <row r="11" spans="1:13" x14ac:dyDescent="0.2">
      <c r="B11" t="s">
        <v>148</v>
      </c>
      <c r="C11" s="1">
        <v>3401</v>
      </c>
      <c r="D11">
        <v>29.75</v>
      </c>
      <c r="E11">
        <v>100</v>
      </c>
    </row>
    <row r="13" spans="1:13" x14ac:dyDescent="0.2">
      <c r="B13" t="s">
        <v>4</v>
      </c>
      <c r="C13" s="1">
        <v>11431</v>
      </c>
      <c r="D13">
        <v>100</v>
      </c>
    </row>
    <row r="16" spans="1:13" x14ac:dyDescent="0.2">
      <c r="B16" t="s">
        <v>139</v>
      </c>
      <c r="C16" t="s">
        <v>75</v>
      </c>
      <c r="D16" t="s">
        <v>76</v>
      </c>
      <c r="E16" t="s">
        <v>171</v>
      </c>
      <c r="F16" t="s">
        <v>77</v>
      </c>
      <c r="G16" t="s">
        <v>4</v>
      </c>
      <c r="H16" t="s">
        <v>172</v>
      </c>
    </row>
    <row r="17" spans="2:17" x14ac:dyDescent="0.2">
      <c r="I17" t="s">
        <v>75</v>
      </c>
      <c r="J17" t="s">
        <v>76</v>
      </c>
      <c r="K17" t="s">
        <v>84</v>
      </c>
      <c r="Q17" s="4"/>
    </row>
    <row r="18" spans="2:17" x14ac:dyDescent="0.2">
      <c r="B18" t="s">
        <v>140</v>
      </c>
      <c r="C18">
        <v>129</v>
      </c>
      <c r="D18">
        <v>69</v>
      </c>
      <c r="E18">
        <v>75</v>
      </c>
      <c r="F18">
        <v>47</v>
      </c>
      <c r="G18">
        <v>320</v>
      </c>
      <c r="H18">
        <f>G18-F18</f>
        <v>273</v>
      </c>
      <c r="Q18" s="4"/>
    </row>
    <row r="19" spans="2:17" x14ac:dyDescent="0.2">
      <c r="C19">
        <v>40.31</v>
      </c>
      <c r="D19">
        <v>21.56</v>
      </c>
      <c r="E19">
        <v>23.44</v>
      </c>
      <c r="F19">
        <v>14.69</v>
      </c>
      <c r="G19">
        <v>100</v>
      </c>
      <c r="I19">
        <f>C18/$H$18</f>
        <v>0.47252747252747251</v>
      </c>
      <c r="J19">
        <f t="shared" ref="J19:K19" si="0">D18/$H$18</f>
        <v>0.25274725274725274</v>
      </c>
      <c r="K19">
        <f t="shared" si="0"/>
        <v>0.27472527472527475</v>
      </c>
      <c r="Q19" s="4"/>
    </row>
    <row r="20" spans="2:17" x14ac:dyDescent="0.2">
      <c r="Q20" s="4"/>
    </row>
    <row r="21" spans="2:17" x14ac:dyDescent="0.2">
      <c r="B21" t="s">
        <v>141</v>
      </c>
      <c r="C21">
        <v>4</v>
      </c>
      <c r="D21">
        <v>5</v>
      </c>
      <c r="E21">
        <v>8</v>
      </c>
      <c r="F21">
        <v>2</v>
      </c>
      <c r="G21">
        <v>19</v>
      </c>
    </row>
    <row r="22" spans="2:17" x14ac:dyDescent="0.2">
      <c r="C22">
        <v>21.05</v>
      </c>
      <c r="D22">
        <v>26.32</v>
      </c>
      <c r="E22">
        <v>42.11</v>
      </c>
      <c r="F22">
        <v>10.53</v>
      </c>
      <c r="G22">
        <v>100</v>
      </c>
    </row>
    <row r="24" spans="2:17" x14ac:dyDescent="0.2">
      <c r="B24" t="s">
        <v>142</v>
      </c>
      <c r="C24">
        <v>201</v>
      </c>
      <c r="D24">
        <v>167</v>
      </c>
      <c r="E24">
        <v>508</v>
      </c>
      <c r="F24">
        <v>76</v>
      </c>
      <c r="G24">
        <v>952</v>
      </c>
      <c r="H24">
        <f>G24-F24</f>
        <v>876</v>
      </c>
    </row>
    <row r="25" spans="2:17" x14ac:dyDescent="0.2">
      <c r="C25">
        <v>21.11</v>
      </c>
      <c r="D25">
        <v>17.54</v>
      </c>
      <c r="E25">
        <v>53.36</v>
      </c>
      <c r="F25">
        <v>7.98</v>
      </c>
      <c r="G25">
        <v>100</v>
      </c>
      <c r="I25">
        <f>C24/$H$24</f>
        <v>0.22945205479452055</v>
      </c>
      <c r="J25">
        <f>D24/$H$24</f>
        <v>0.1906392694063927</v>
      </c>
      <c r="K25">
        <f>E24/$H$24</f>
        <v>0.57990867579908678</v>
      </c>
    </row>
    <row r="27" spans="2:17" x14ac:dyDescent="0.2">
      <c r="B27" t="s">
        <v>143</v>
      </c>
      <c r="C27">
        <v>22</v>
      </c>
      <c r="D27">
        <v>25</v>
      </c>
      <c r="E27">
        <v>55</v>
      </c>
      <c r="F27">
        <v>17</v>
      </c>
      <c r="G27">
        <v>119</v>
      </c>
    </row>
    <row r="28" spans="2:17" x14ac:dyDescent="0.2">
      <c r="C28">
        <v>18.489999999999998</v>
      </c>
      <c r="D28">
        <v>21.01</v>
      </c>
      <c r="E28">
        <v>46.22</v>
      </c>
      <c r="F28">
        <v>14.29</v>
      </c>
      <c r="G28">
        <v>100</v>
      </c>
    </row>
    <row r="30" spans="2:17" x14ac:dyDescent="0.2">
      <c r="B30" t="s">
        <v>144</v>
      </c>
      <c r="C30" s="1">
        <v>1591</v>
      </c>
      <c r="D30">
        <v>955</v>
      </c>
      <c r="E30">
        <v>581</v>
      </c>
      <c r="F30">
        <v>437</v>
      </c>
      <c r="G30" s="1">
        <v>3564</v>
      </c>
      <c r="H30">
        <f>G30-F30</f>
        <v>3127</v>
      </c>
    </row>
    <row r="31" spans="2:17" x14ac:dyDescent="0.2">
      <c r="C31">
        <v>44.64</v>
      </c>
      <c r="D31">
        <v>26.8</v>
      </c>
      <c r="E31">
        <v>16.3</v>
      </c>
      <c r="F31">
        <v>12.26</v>
      </c>
      <c r="G31">
        <v>100</v>
      </c>
      <c r="I31">
        <f>C30/$H$30</f>
        <v>0.50879437160217456</v>
      </c>
      <c r="J31">
        <f>D30/$H$30</f>
        <v>0.30540454109370002</v>
      </c>
      <c r="K31">
        <f>E30/$H$30</f>
        <v>0.18580108730412537</v>
      </c>
    </row>
    <row r="33" spans="2:11" x14ac:dyDescent="0.2">
      <c r="B33" t="s">
        <v>145</v>
      </c>
      <c r="C33">
        <v>9</v>
      </c>
      <c r="D33">
        <v>6</v>
      </c>
      <c r="E33">
        <v>6</v>
      </c>
      <c r="F33">
        <v>5</v>
      </c>
      <c r="G33">
        <v>26</v>
      </c>
    </row>
    <row r="34" spans="2:11" x14ac:dyDescent="0.2">
      <c r="C34">
        <v>34.619999999999997</v>
      </c>
      <c r="D34">
        <v>23.08</v>
      </c>
      <c r="E34">
        <v>23.08</v>
      </c>
      <c r="F34">
        <v>19.23</v>
      </c>
      <c r="G34">
        <v>100</v>
      </c>
    </row>
    <row r="36" spans="2:11" x14ac:dyDescent="0.2">
      <c r="B36" t="s">
        <v>146</v>
      </c>
      <c r="C36">
        <v>226</v>
      </c>
      <c r="D36">
        <v>222</v>
      </c>
      <c r="E36" s="1">
        <v>1007</v>
      </c>
      <c r="F36">
        <v>98</v>
      </c>
      <c r="G36" s="1">
        <v>1553</v>
      </c>
      <c r="H36">
        <f>G36-F36</f>
        <v>1455</v>
      </c>
    </row>
    <row r="37" spans="2:11" x14ac:dyDescent="0.2">
      <c r="C37">
        <v>14.55</v>
      </c>
      <c r="D37">
        <v>14.29</v>
      </c>
      <c r="E37">
        <v>64.84</v>
      </c>
      <c r="F37">
        <v>6.31</v>
      </c>
      <c r="G37">
        <v>100</v>
      </c>
      <c r="I37">
        <f>C36/$H$36</f>
        <v>0.15532646048109966</v>
      </c>
      <c r="J37">
        <f>D36/$H$36</f>
        <v>0.15257731958762888</v>
      </c>
      <c r="K37">
        <f>E36/$H$36</f>
        <v>0.69209621993127146</v>
      </c>
    </row>
    <row r="39" spans="2:11" x14ac:dyDescent="0.2">
      <c r="B39" t="s">
        <v>17</v>
      </c>
      <c r="C39">
        <v>51</v>
      </c>
      <c r="D39">
        <v>29</v>
      </c>
      <c r="E39">
        <v>53</v>
      </c>
      <c r="F39">
        <v>18</v>
      </c>
      <c r="G39">
        <v>151</v>
      </c>
    </row>
    <row r="40" spans="2:11" x14ac:dyDescent="0.2">
      <c r="C40">
        <v>33.770000000000003</v>
      </c>
      <c r="D40">
        <v>19.21</v>
      </c>
      <c r="E40">
        <v>35.1</v>
      </c>
      <c r="F40">
        <v>11.92</v>
      </c>
      <c r="G40">
        <v>100</v>
      </c>
    </row>
    <row r="42" spans="2:11" x14ac:dyDescent="0.2">
      <c r="B42" t="s">
        <v>147</v>
      </c>
      <c r="C42">
        <v>312</v>
      </c>
      <c r="D42">
        <v>240</v>
      </c>
      <c r="E42">
        <v>662</v>
      </c>
      <c r="F42">
        <v>112</v>
      </c>
      <c r="G42" s="1">
        <v>1326</v>
      </c>
    </row>
    <row r="43" spans="2:11" x14ac:dyDescent="0.2">
      <c r="C43">
        <v>23.53</v>
      </c>
      <c r="D43">
        <v>18.100000000000001</v>
      </c>
      <c r="E43">
        <v>49.92</v>
      </c>
      <c r="F43">
        <v>8.4499999999999993</v>
      </c>
      <c r="G43">
        <v>100</v>
      </c>
    </row>
    <row r="45" spans="2:11" x14ac:dyDescent="0.2">
      <c r="B45" t="s">
        <v>4</v>
      </c>
      <c r="C45" s="1">
        <v>2545</v>
      </c>
      <c r="D45" s="1">
        <v>1718</v>
      </c>
      <c r="E45" s="1">
        <v>2955</v>
      </c>
      <c r="F45">
        <v>812</v>
      </c>
      <c r="G45" s="1">
        <v>8030</v>
      </c>
    </row>
    <row r="46" spans="2:11" x14ac:dyDescent="0.2">
      <c r="C46">
        <v>31.69</v>
      </c>
      <c r="D46">
        <v>21.39</v>
      </c>
      <c r="E46">
        <v>36.799999999999997</v>
      </c>
      <c r="F46">
        <v>10.11</v>
      </c>
      <c r="G46">
        <v>100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84914-7479-5B4F-A357-71AE69D89C4B}">
  <dimension ref="A2:AL53"/>
  <sheetViews>
    <sheetView workbookViewId="0">
      <selection activeCell="D16" sqref="D16"/>
    </sheetView>
  </sheetViews>
  <sheetFormatPr baseColWidth="10" defaultRowHeight="16" x14ac:dyDescent="0.2"/>
  <cols>
    <col min="23" max="23" width="23" customWidth="1"/>
  </cols>
  <sheetData>
    <row r="2" spans="1:31" x14ac:dyDescent="0.2">
      <c r="B2" t="s">
        <v>124</v>
      </c>
      <c r="C2" t="s">
        <v>121</v>
      </c>
      <c r="D2" t="s">
        <v>122</v>
      </c>
      <c r="E2" t="s">
        <v>126</v>
      </c>
      <c r="F2" t="s">
        <v>125</v>
      </c>
      <c r="G2" t="s">
        <v>123</v>
      </c>
      <c r="H2" t="s">
        <v>127</v>
      </c>
      <c r="I2" t="s">
        <v>128</v>
      </c>
      <c r="X2" t="s">
        <v>122</v>
      </c>
      <c r="Y2" t="s">
        <v>121</v>
      </c>
      <c r="Z2" t="s">
        <v>123</v>
      </c>
      <c r="AA2" t="s">
        <v>124</v>
      </c>
      <c r="AB2" t="s">
        <v>125</v>
      </c>
      <c r="AC2" t="s">
        <v>126</v>
      </c>
      <c r="AD2" t="s">
        <v>127</v>
      </c>
      <c r="AE2" t="s">
        <v>128</v>
      </c>
    </row>
    <row r="3" spans="1:31" x14ac:dyDescent="0.2">
      <c r="A3" t="s">
        <v>75</v>
      </c>
      <c r="B3" s="4">
        <v>0.56000000000000005</v>
      </c>
      <c r="C3" s="4">
        <v>0.49</v>
      </c>
      <c r="D3" s="4">
        <v>0.68</v>
      </c>
      <c r="E3" s="4">
        <v>0.22</v>
      </c>
      <c r="F3" s="4">
        <v>0.3</v>
      </c>
      <c r="G3" s="4">
        <v>0.26</v>
      </c>
      <c r="H3" s="4">
        <v>0.03</v>
      </c>
      <c r="I3" s="4">
        <v>0.02</v>
      </c>
      <c r="W3" t="s">
        <v>75</v>
      </c>
      <c r="X3" s="4">
        <v>0.68</v>
      </c>
      <c r="Y3" s="4">
        <v>0.49</v>
      </c>
      <c r="Z3" s="4">
        <v>0.26</v>
      </c>
      <c r="AA3" s="4">
        <v>0.56000000000000005</v>
      </c>
      <c r="AB3" s="4">
        <v>0.3</v>
      </c>
      <c r="AC3" s="4">
        <v>0.22</v>
      </c>
      <c r="AD3" s="4">
        <v>0.03</v>
      </c>
      <c r="AE3" s="4">
        <v>0.02</v>
      </c>
    </row>
    <row r="4" spans="1:31" x14ac:dyDescent="0.2">
      <c r="A4" t="s">
        <v>86</v>
      </c>
      <c r="B4" s="4">
        <v>0.56999999999999995</v>
      </c>
      <c r="C4" s="4">
        <v>0.53</v>
      </c>
      <c r="D4" s="4">
        <v>0.68</v>
      </c>
      <c r="E4" s="4">
        <v>0.36</v>
      </c>
      <c r="F4" s="4">
        <v>0.35</v>
      </c>
      <c r="G4" s="4">
        <v>0.32</v>
      </c>
      <c r="H4" s="4">
        <v>0.04</v>
      </c>
      <c r="I4" s="4">
        <v>0.02</v>
      </c>
      <c r="W4" t="s">
        <v>86</v>
      </c>
      <c r="X4" s="4">
        <v>0.68</v>
      </c>
      <c r="Y4" s="4">
        <v>0.53</v>
      </c>
      <c r="Z4" s="4">
        <v>0.32</v>
      </c>
      <c r="AA4" s="4">
        <v>0.56999999999999995</v>
      </c>
      <c r="AB4" s="4">
        <v>0.35</v>
      </c>
      <c r="AC4" s="4">
        <v>0.36</v>
      </c>
      <c r="AD4" s="4">
        <v>0.04</v>
      </c>
      <c r="AE4" s="4">
        <v>0.02</v>
      </c>
    </row>
    <row r="5" spans="1:31" x14ac:dyDescent="0.2">
      <c r="A5" t="s">
        <v>129</v>
      </c>
      <c r="B5" s="4">
        <v>0.5</v>
      </c>
      <c r="C5" s="4">
        <v>0.52</v>
      </c>
      <c r="D5" s="4">
        <v>0.27</v>
      </c>
      <c r="E5" s="4">
        <v>0.68</v>
      </c>
      <c r="F5" s="4">
        <v>0.4</v>
      </c>
      <c r="G5" s="4">
        <v>0.41</v>
      </c>
      <c r="H5" s="4">
        <v>0.06</v>
      </c>
      <c r="I5" s="4">
        <v>0.04</v>
      </c>
      <c r="W5" t="s">
        <v>129</v>
      </c>
      <c r="X5" s="4">
        <v>0.27</v>
      </c>
      <c r="Y5" s="4">
        <v>0.52</v>
      </c>
      <c r="Z5" s="4">
        <v>0.41</v>
      </c>
      <c r="AA5" s="4">
        <v>0.5</v>
      </c>
      <c r="AB5" s="4">
        <v>0.4</v>
      </c>
      <c r="AC5" s="4">
        <v>0.68</v>
      </c>
      <c r="AD5" s="4">
        <v>0.06</v>
      </c>
      <c r="AE5" s="4">
        <v>0.04</v>
      </c>
    </row>
    <row r="8" spans="1:31" x14ac:dyDescent="0.2">
      <c r="B8" s="4"/>
      <c r="C8" s="4"/>
      <c r="D8" s="4"/>
      <c r="E8" s="4"/>
      <c r="F8" s="4"/>
      <c r="G8" s="4"/>
      <c r="H8" s="4"/>
      <c r="I8" s="4"/>
      <c r="X8" t="s">
        <v>131</v>
      </c>
      <c r="Y8" t="s">
        <v>121</v>
      </c>
      <c r="Z8" t="s">
        <v>123</v>
      </c>
      <c r="AA8" t="s">
        <v>124</v>
      </c>
      <c r="AB8" t="s">
        <v>125</v>
      </c>
      <c r="AC8" t="s">
        <v>170</v>
      </c>
      <c r="AD8" t="s">
        <v>191</v>
      </c>
      <c r="AE8" t="s">
        <v>128</v>
      </c>
    </row>
    <row r="9" spans="1:31" x14ac:dyDescent="0.2">
      <c r="B9" s="4"/>
      <c r="C9" s="4"/>
      <c r="D9" s="4"/>
      <c r="E9" s="4"/>
      <c r="F9" s="4"/>
      <c r="G9" s="4"/>
      <c r="H9" s="4"/>
      <c r="I9" s="4"/>
      <c r="W9" t="s">
        <v>150</v>
      </c>
      <c r="X9" s="4">
        <v>0.78</v>
      </c>
      <c r="Y9" s="4">
        <v>0.59</v>
      </c>
      <c r="Z9" s="4">
        <v>0.33</v>
      </c>
      <c r="AA9" s="4">
        <v>0.5</v>
      </c>
      <c r="AB9" s="4">
        <v>0.17</v>
      </c>
      <c r="AC9" s="4">
        <v>0.26</v>
      </c>
      <c r="AD9" s="4">
        <v>0</v>
      </c>
      <c r="AE9" s="4">
        <v>0.02</v>
      </c>
    </row>
    <row r="10" spans="1:31" x14ac:dyDescent="0.2">
      <c r="B10" s="4"/>
      <c r="C10" s="4"/>
      <c r="D10" s="4"/>
      <c r="E10" s="4"/>
      <c r="F10" s="4"/>
      <c r="G10" s="4"/>
      <c r="H10" s="4"/>
      <c r="I10" s="4"/>
      <c r="W10" t="s">
        <v>142</v>
      </c>
      <c r="X10" s="4">
        <v>0.82</v>
      </c>
      <c r="Y10" s="4">
        <v>0.56999999999999995</v>
      </c>
      <c r="Z10" s="4">
        <v>0.32</v>
      </c>
      <c r="AA10" s="4">
        <v>0.49</v>
      </c>
      <c r="AB10" s="4">
        <v>0.33</v>
      </c>
      <c r="AC10" s="4">
        <v>0.38</v>
      </c>
      <c r="AD10" s="4">
        <v>0.06</v>
      </c>
      <c r="AE10" s="4">
        <v>0.02</v>
      </c>
    </row>
    <row r="11" spans="1:31" x14ac:dyDescent="0.2">
      <c r="B11" s="4"/>
      <c r="C11" s="4"/>
      <c r="D11" s="4"/>
      <c r="E11" s="4"/>
      <c r="F11" s="4"/>
      <c r="G11" s="4"/>
      <c r="H11" s="4"/>
      <c r="I11" s="4"/>
      <c r="W11" t="s">
        <v>168</v>
      </c>
      <c r="X11" s="4">
        <v>0.65</v>
      </c>
      <c r="Y11" s="4">
        <v>0.47</v>
      </c>
      <c r="Z11" s="4">
        <v>0.24</v>
      </c>
      <c r="AA11" s="4">
        <v>0.6</v>
      </c>
      <c r="AB11" s="4">
        <v>0.32</v>
      </c>
      <c r="AC11" s="4">
        <v>0.19</v>
      </c>
      <c r="AD11" s="4">
        <v>0.03</v>
      </c>
      <c r="AE11" s="4">
        <v>0.01</v>
      </c>
    </row>
    <row r="12" spans="1:31" x14ac:dyDescent="0.2">
      <c r="B12" s="4"/>
      <c r="C12" s="4"/>
      <c r="D12" s="4"/>
      <c r="E12" s="4"/>
      <c r="F12" s="7"/>
      <c r="G12" s="7"/>
      <c r="H12" s="7"/>
      <c r="W12" t="s">
        <v>149</v>
      </c>
      <c r="X12" s="4">
        <v>0.77</v>
      </c>
      <c r="Y12" s="4">
        <v>0.55000000000000004</v>
      </c>
      <c r="Z12" s="4">
        <v>0.35</v>
      </c>
      <c r="AA12" s="4">
        <v>0.52</v>
      </c>
      <c r="AB12" s="4">
        <v>0.32</v>
      </c>
      <c r="AC12" s="4">
        <v>0.25</v>
      </c>
      <c r="AD12" s="4">
        <v>0.03</v>
      </c>
      <c r="AE12" s="4">
        <v>0.04</v>
      </c>
    </row>
    <row r="23" spans="12:38" x14ac:dyDescent="0.2">
      <c r="L23" s="1"/>
      <c r="N23" s="1"/>
      <c r="S23" s="1"/>
      <c r="U23" s="1"/>
      <c r="W23" s="1"/>
      <c r="Z23" s="1"/>
      <c r="AB23" s="1"/>
      <c r="AE23" s="1"/>
      <c r="AJ23" s="1"/>
      <c r="AL23" s="1"/>
    </row>
    <row r="27" spans="12:38" x14ac:dyDescent="0.2">
      <c r="X27" s="1"/>
    </row>
    <row r="53" spans="12:38" x14ac:dyDescent="0.2">
      <c r="L53" s="1"/>
      <c r="N53" s="1"/>
      <c r="Q53" s="1"/>
      <c r="S53" s="1"/>
      <c r="U53" s="1"/>
      <c r="W53" s="1"/>
      <c r="Z53" s="1"/>
      <c r="AB53" s="1"/>
      <c r="AE53" s="1"/>
      <c r="AJ53" s="1"/>
      <c r="AL53" s="1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0E71B-6B25-F94A-B357-0A8A183498FD}">
  <dimension ref="A2:AL60"/>
  <sheetViews>
    <sheetView workbookViewId="0">
      <selection activeCell="L29" sqref="L29"/>
    </sheetView>
  </sheetViews>
  <sheetFormatPr baseColWidth="10" defaultRowHeight="16" x14ac:dyDescent="0.2"/>
  <cols>
    <col min="23" max="23" width="23" customWidth="1"/>
  </cols>
  <sheetData>
    <row r="2" spans="1:31" x14ac:dyDescent="0.2">
      <c r="B2" t="s">
        <v>124</v>
      </c>
      <c r="C2" t="s">
        <v>121</v>
      </c>
      <c r="D2" t="s">
        <v>122</v>
      </c>
      <c r="E2" t="s">
        <v>126</v>
      </c>
      <c r="F2" t="s">
        <v>125</v>
      </c>
      <c r="G2" t="s">
        <v>123</v>
      </c>
      <c r="H2" t="s">
        <v>127</v>
      </c>
      <c r="I2" t="s">
        <v>128</v>
      </c>
      <c r="X2" t="s">
        <v>122</v>
      </c>
      <c r="Y2" t="s">
        <v>121</v>
      </c>
      <c r="Z2" t="s">
        <v>123</v>
      </c>
      <c r="AA2" t="s">
        <v>124</v>
      </c>
      <c r="AB2" t="s">
        <v>125</v>
      </c>
      <c r="AC2" t="s">
        <v>126</v>
      </c>
      <c r="AD2" t="s">
        <v>127</v>
      </c>
      <c r="AE2" t="s">
        <v>128</v>
      </c>
    </row>
    <row r="3" spans="1:31" x14ac:dyDescent="0.2">
      <c r="A3" t="s">
        <v>95</v>
      </c>
      <c r="B3" s="4">
        <v>0.55000000000000004</v>
      </c>
      <c r="C3" s="4">
        <v>0.37</v>
      </c>
      <c r="D3" s="4">
        <v>0.47</v>
      </c>
      <c r="E3" s="4">
        <v>0.28000000000000003</v>
      </c>
      <c r="F3" s="4">
        <v>0.33</v>
      </c>
      <c r="G3" s="4">
        <v>0.24</v>
      </c>
      <c r="H3" s="4">
        <v>0.04</v>
      </c>
      <c r="I3" s="4">
        <v>0.02</v>
      </c>
      <c r="W3" t="s">
        <v>95</v>
      </c>
      <c r="X3" s="4">
        <v>0.47</v>
      </c>
      <c r="Y3" s="4">
        <v>0.37</v>
      </c>
      <c r="Z3" s="4">
        <v>0.24</v>
      </c>
      <c r="AA3" s="4">
        <v>0.55000000000000004</v>
      </c>
      <c r="AB3" s="4">
        <v>0.33</v>
      </c>
      <c r="AC3" s="4">
        <v>0.28000000000000003</v>
      </c>
      <c r="AD3" s="4">
        <v>0.04</v>
      </c>
      <c r="AE3" s="4">
        <v>0.02</v>
      </c>
    </row>
    <row r="4" spans="1:31" x14ac:dyDescent="0.2">
      <c r="A4" t="s">
        <v>96</v>
      </c>
      <c r="B4" s="4">
        <v>0.53</v>
      </c>
      <c r="C4" s="4">
        <v>0.5</v>
      </c>
      <c r="D4" s="4">
        <v>0.6</v>
      </c>
      <c r="E4" s="4">
        <v>0.43</v>
      </c>
      <c r="F4" s="4">
        <v>0.35</v>
      </c>
      <c r="G4" s="4">
        <v>0.35</v>
      </c>
      <c r="H4" s="4">
        <v>0.05</v>
      </c>
      <c r="I4" s="4">
        <v>0.03</v>
      </c>
      <c r="W4" t="s">
        <v>96</v>
      </c>
      <c r="X4" s="4">
        <v>0.6</v>
      </c>
      <c r="Y4" s="4">
        <v>0.5</v>
      </c>
      <c r="Z4" s="4">
        <v>0.35</v>
      </c>
      <c r="AA4" s="4">
        <v>0.53</v>
      </c>
      <c r="AB4" s="4">
        <v>0.35</v>
      </c>
      <c r="AC4" s="4">
        <v>0.43</v>
      </c>
      <c r="AD4" s="4">
        <v>0.05</v>
      </c>
      <c r="AE4" s="4">
        <v>0.03</v>
      </c>
    </row>
    <row r="5" spans="1:31" x14ac:dyDescent="0.2">
      <c r="A5" t="s">
        <v>97</v>
      </c>
      <c r="B5" s="4">
        <v>0.54</v>
      </c>
      <c r="C5" s="4">
        <v>0.62</v>
      </c>
      <c r="D5" s="4">
        <v>0.57999999999999996</v>
      </c>
      <c r="E5" s="4">
        <v>0.57999999999999996</v>
      </c>
      <c r="F5" s="4">
        <v>0.39</v>
      </c>
      <c r="G5" s="4">
        <v>0.4</v>
      </c>
      <c r="H5" s="4">
        <v>0.06</v>
      </c>
      <c r="I5" s="4">
        <v>0.03</v>
      </c>
      <c r="W5" t="s">
        <v>97</v>
      </c>
      <c r="X5" s="4">
        <v>0.57999999999999996</v>
      </c>
      <c r="Y5" s="4">
        <v>0.62</v>
      </c>
      <c r="Z5" s="4">
        <v>0.4</v>
      </c>
      <c r="AA5" s="4">
        <v>0.54</v>
      </c>
      <c r="AB5" s="4">
        <v>0.39</v>
      </c>
      <c r="AC5" s="4">
        <v>0.57999999999999996</v>
      </c>
      <c r="AD5" s="4">
        <v>0.06</v>
      </c>
      <c r="AE5" s="4">
        <v>0.03</v>
      </c>
    </row>
    <row r="6" spans="1:31" x14ac:dyDescent="0.2">
      <c r="A6" t="s">
        <v>87</v>
      </c>
      <c r="B6" s="4">
        <v>0.53</v>
      </c>
      <c r="C6" s="4">
        <v>0.51</v>
      </c>
      <c r="D6" s="4">
        <v>0.5</v>
      </c>
      <c r="E6" s="4">
        <v>0.44</v>
      </c>
      <c r="F6" s="4">
        <v>0.35</v>
      </c>
      <c r="G6" s="4">
        <v>0.33</v>
      </c>
      <c r="H6" s="4">
        <v>0.04</v>
      </c>
      <c r="I6" s="4">
        <v>0.03</v>
      </c>
      <c r="W6" t="s">
        <v>87</v>
      </c>
      <c r="X6" s="4">
        <v>0.5</v>
      </c>
      <c r="Y6" s="4">
        <v>0.51</v>
      </c>
      <c r="Z6" s="4">
        <v>0.33</v>
      </c>
      <c r="AA6" s="4">
        <v>0.53</v>
      </c>
      <c r="AB6" s="4">
        <v>0.35</v>
      </c>
      <c r="AC6" s="4">
        <v>0.44</v>
      </c>
      <c r="AD6" s="4">
        <v>0.04</v>
      </c>
      <c r="AE6" s="4">
        <v>0.03</v>
      </c>
    </row>
    <row r="9" spans="1:31" x14ac:dyDescent="0.2">
      <c r="X9" t="s">
        <v>122</v>
      </c>
      <c r="Y9" t="s">
        <v>121</v>
      </c>
      <c r="Z9" t="s">
        <v>123</v>
      </c>
      <c r="AA9" t="s">
        <v>124</v>
      </c>
      <c r="AB9" t="s">
        <v>125</v>
      </c>
      <c r="AC9" t="s">
        <v>126</v>
      </c>
      <c r="AD9" t="s">
        <v>127</v>
      </c>
      <c r="AE9" t="s">
        <v>128</v>
      </c>
    </row>
    <row r="10" spans="1:31" x14ac:dyDescent="0.2">
      <c r="B10" s="4"/>
      <c r="C10" s="4"/>
      <c r="D10" s="4"/>
      <c r="E10" s="4"/>
      <c r="F10" s="4"/>
      <c r="G10" s="4"/>
      <c r="H10" s="4"/>
      <c r="I10" s="4"/>
      <c r="W10" t="s">
        <v>75</v>
      </c>
      <c r="X10" s="4">
        <v>0.68</v>
      </c>
      <c r="Y10" s="4">
        <v>0.49</v>
      </c>
      <c r="Z10" s="4">
        <v>0.26</v>
      </c>
      <c r="AA10" s="4">
        <v>0.56000000000000005</v>
      </c>
      <c r="AB10" s="4">
        <v>0.3</v>
      </c>
      <c r="AC10" s="4">
        <v>0.22</v>
      </c>
      <c r="AD10" s="4">
        <v>0.03</v>
      </c>
      <c r="AE10" s="4">
        <v>0.02</v>
      </c>
    </row>
    <row r="11" spans="1:31" x14ac:dyDescent="0.2">
      <c r="B11" s="4"/>
      <c r="C11" s="4"/>
      <c r="D11" s="4"/>
      <c r="E11" s="4"/>
      <c r="F11" s="4"/>
      <c r="G11" s="4"/>
      <c r="H11" s="4"/>
      <c r="I11" s="4"/>
      <c r="W11" t="s">
        <v>86</v>
      </c>
      <c r="X11" s="4">
        <v>0.68</v>
      </c>
      <c r="Y11" s="4">
        <v>0.53</v>
      </c>
      <c r="Z11" s="4">
        <v>0.32</v>
      </c>
      <c r="AA11" s="4">
        <v>0.56999999999999995</v>
      </c>
      <c r="AB11" s="4">
        <v>0.35</v>
      </c>
      <c r="AC11" s="4">
        <v>0.36</v>
      </c>
      <c r="AD11" s="4">
        <v>0.04</v>
      </c>
      <c r="AE11" s="4">
        <v>0.02</v>
      </c>
    </row>
    <row r="12" spans="1:31" x14ac:dyDescent="0.2">
      <c r="B12" s="4"/>
      <c r="C12" s="4"/>
      <c r="D12" s="4"/>
      <c r="E12" s="4"/>
      <c r="F12" s="4"/>
      <c r="G12" s="4"/>
      <c r="H12" s="4"/>
      <c r="I12" s="4"/>
      <c r="W12" t="s">
        <v>129</v>
      </c>
      <c r="X12" s="4">
        <v>0.27</v>
      </c>
      <c r="Y12" s="4">
        <v>0.52</v>
      </c>
      <c r="Z12" s="4">
        <v>0.41</v>
      </c>
      <c r="AA12" s="4">
        <v>0.5</v>
      </c>
      <c r="AB12" s="4">
        <v>0.4</v>
      </c>
      <c r="AC12" s="4">
        <v>0.68</v>
      </c>
      <c r="AD12" s="4">
        <v>0.06</v>
      </c>
      <c r="AE12" s="4">
        <v>0.04</v>
      </c>
    </row>
    <row r="15" spans="1:31" x14ac:dyDescent="0.2">
      <c r="B15" s="4"/>
      <c r="C15" s="4"/>
      <c r="D15" s="4"/>
      <c r="E15" s="4"/>
      <c r="F15" s="4"/>
      <c r="G15" s="4"/>
      <c r="H15" s="4"/>
      <c r="I15" s="4"/>
      <c r="X15" t="s">
        <v>131</v>
      </c>
      <c r="Y15" t="s">
        <v>121</v>
      </c>
      <c r="Z15" t="s">
        <v>123</v>
      </c>
      <c r="AA15" t="s">
        <v>124</v>
      </c>
      <c r="AB15" t="s">
        <v>125</v>
      </c>
      <c r="AC15" t="s">
        <v>170</v>
      </c>
      <c r="AD15" t="s">
        <v>191</v>
      </c>
      <c r="AE15" t="s">
        <v>128</v>
      </c>
    </row>
    <row r="16" spans="1:31" x14ac:dyDescent="0.2">
      <c r="B16" s="4"/>
      <c r="C16" s="4"/>
      <c r="D16" s="4"/>
      <c r="E16" s="4"/>
      <c r="F16" s="4"/>
      <c r="G16" s="4"/>
      <c r="H16" s="4"/>
      <c r="I16" s="4"/>
      <c r="W16" t="s">
        <v>150</v>
      </c>
      <c r="X16" s="4">
        <v>0.78</v>
      </c>
      <c r="Y16" s="4">
        <v>0.59</v>
      </c>
      <c r="Z16" s="4">
        <v>0.33</v>
      </c>
      <c r="AA16" s="4">
        <v>0.5</v>
      </c>
      <c r="AB16" s="4">
        <v>0.17</v>
      </c>
      <c r="AC16" s="4">
        <v>0.26</v>
      </c>
      <c r="AD16" s="4">
        <v>0</v>
      </c>
      <c r="AE16" s="4">
        <v>0.02</v>
      </c>
    </row>
    <row r="17" spans="2:38" x14ac:dyDescent="0.2">
      <c r="B17" s="4"/>
      <c r="C17" s="4"/>
      <c r="D17" s="4"/>
      <c r="E17" s="4"/>
      <c r="F17" s="4"/>
      <c r="G17" s="4"/>
      <c r="H17" s="4"/>
      <c r="I17" s="4"/>
      <c r="W17" t="s">
        <v>142</v>
      </c>
      <c r="X17" s="4">
        <v>0.82</v>
      </c>
      <c r="Y17" s="4">
        <v>0.56999999999999995</v>
      </c>
      <c r="Z17" s="4">
        <v>0.32</v>
      </c>
      <c r="AA17" s="4">
        <v>0.49</v>
      </c>
      <c r="AB17" s="4">
        <v>0.33</v>
      </c>
      <c r="AC17" s="4">
        <v>0.38</v>
      </c>
      <c r="AD17" s="4">
        <v>0.06</v>
      </c>
      <c r="AE17" s="4">
        <v>0.02</v>
      </c>
    </row>
    <row r="18" spans="2:38" x14ac:dyDescent="0.2">
      <c r="B18" s="4"/>
      <c r="C18" s="4"/>
      <c r="D18" s="4"/>
      <c r="E18" s="4"/>
      <c r="F18" s="4"/>
      <c r="G18" s="4"/>
      <c r="H18" s="4"/>
      <c r="I18" s="4"/>
      <c r="W18" t="s">
        <v>168</v>
      </c>
      <c r="X18" s="4">
        <v>0.65</v>
      </c>
      <c r="Y18" s="4">
        <v>0.47</v>
      </c>
      <c r="Z18" s="4">
        <v>0.24</v>
      </c>
      <c r="AA18" s="4">
        <v>0.6</v>
      </c>
      <c r="AB18" s="4">
        <v>0.32</v>
      </c>
      <c r="AC18" s="4">
        <v>0.19</v>
      </c>
      <c r="AD18" s="4">
        <v>0.03</v>
      </c>
      <c r="AE18" s="4">
        <v>0.01</v>
      </c>
    </row>
    <row r="19" spans="2:38" x14ac:dyDescent="0.2">
      <c r="B19" s="4"/>
      <c r="C19" s="4"/>
      <c r="D19" s="4"/>
      <c r="E19" s="4"/>
      <c r="F19" s="7"/>
      <c r="G19" s="7"/>
      <c r="H19" s="7"/>
      <c r="W19" t="s">
        <v>149</v>
      </c>
      <c r="X19" s="4">
        <v>0.77</v>
      </c>
      <c r="Y19" s="4">
        <v>0.55000000000000004</v>
      </c>
      <c r="Z19" s="4">
        <v>0.35</v>
      </c>
      <c r="AA19" s="4">
        <v>0.52</v>
      </c>
      <c r="AB19" s="4">
        <v>0.32</v>
      </c>
      <c r="AC19" s="4">
        <v>0.25</v>
      </c>
      <c r="AD19" s="4">
        <v>0.03</v>
      </c>
      <c r="AE19" s="4">
        <v>0.04</v>
      </c>
    </row>
    <row r="30" spans="2:38" x14ac:dyDescent="0.2">
      <c r="L30" s="1"/>
      <c r="N30" s="1"/>
      <c r="S30" s="1"/>
      <c r="U30" s="1"/>
      <c r="W30" s="1"/>
      <c r="Z30" s="1"/>
      <c r="AB30" s="1"/>
      <c r="AE30" s="1"/>
      <c r="AJ30" s="1"/>
      <c r="AL30" s="1"/>
    </row>
    <row r="34" spans="24:24" x14ac:dyDescent="0.2">
      <c r="X34" s="1"/>
    </row>
    <row r="60" spans="12:38" x14ac:dyDescent="0.2">
      <c r="L60" s="1"/>
      <c r="N60" s="1"/>
      <c r="Q60" s="1"/>
      <c r="S60" s="1"/>
      <c r="U60" s="1"/>
      <c r="W60" s="1"/>
      <c r="Z60" s="1"/>
      <c r="AB60" s="1"/>
      <c r="AE60" s="1"/>
      <c r="AJ60" s="1"/>
      <c r="AL60" s="1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3E9B4-9B8A-3E42-8573-D2B9DD458116}">
  <dimension ref="A2:S40"/>
  <sheetViews>
    <sheetView topLeftCell="C7" workbookViewId="0">
      <selection activeCell="K33" sqref="K33:S37"/>
    </sheetView>
  </sheetViews>
  <sheetFormatPr baseColWidth="10" defaultRowHeight="16" x14ac:dyDescent="0.2"/>
  <sheetData>
    <row r="2" spans="1:19" x14ac:dyDescent="0.2">
      <c r="B2" t="s">
        <v>131</v>
      </c>
      <c r="C2" t="s">
        <v>121</v>
      </c>
      <c r="D2" t="s">
        <v>123</v>
      </c>
      <c r="E2" t="s">
        <v>124</v>
      </c>
      <c r="F2" t="s">
        <v>192</v>
      </c>
      <c r="G2" t="s">
        <v>126</v>
      </c>
      <c r="H2" t="s">
        <v>193</v>
      </c>
      <c r="I2" t="s">
        <v>194</v>
      </c>
      <c r="L2" t="s">
        <v>124</v>
      </c>
      <c r="M2" t="s">
        <v>121</v>
      </c>
      <c r="N2" t="s">
        <v>131</v>
      </c>
      <c r="O2" t="s">
        <v>126</v>
      </c>
      <c r="P2" t="s">
        <v>192</v>
      </c>
      <c r="Q2" t="s">
        <v>123</v>
      </c>
      <c r="R2" t="s">
        <v>193</v>
      </c>
      <c r="S2" t="s">
        <v>194</v>
      </c>
    </row>
    <row r="3" spans="1:19" x14ac:dyDescent="0.2">
      <c r="A3" t="s">
        <v>152</v>
      </c>
      <c r="B3">
        <v>94</v>
      </c>
      <c r="C3">
        <v>71</v>
      </c>
      <c r="D3">
        <v>40</v>
      </c>
      <c r="E3">
        <v>61</v>
      </c>
      <c r="F3">
        <v>20</v>
      </c>
      <c r="G3">
        <v>32</v>
      </c>
      <c r="H3">
        <v>0</v>
      </c>
      <c r="I3">
        <v>3</v>
      </c>
      <c r="K3" t="s">
        <v>152</v>
      </c>
      <c r="L3" s="7">
        <v>50.41</v>
      </c>
      <c r="M3" s="7">
        <v>58.68</v>
      </c>
      <c r="N3" s="7">
        <v>77.69</v>
      </c>
      <c r="O3" s="7">
        <v>26.45</v>
      </c>
      <c r="P3" s="7">
        <v>16.53</v>
      </c>
      <c r="Q3" s="7">
        <v>33.06</v>
      </c>
      <c r="R3" s="7">
        <v>0</v>
      </c>
      <c r="S3" s="7">
        <v>2.48</v>
      </c>
    </row>
    <row r="4" spans="1:19" x14ac:dyDescent="0.2">
      <c r="A4" t="s">
        <v>152</v>
      </c>
      <c r="B4">
        <v>77.69</v>
      </c>
      <c r="C4">
        <v>58.68</v>
      </c>
      <c r="D4">
        <v>33.06</v>
      </c>
      <c r="E4">
        <v>50.41</v>
      </c>
      <c r="F4">
        <v>16.53</v>
      </c>
      <c r="G4">
        <v>26.45</v>
      </c>
      <c r="H4">
        <v>0</v>
      </c>
      <c r="I4">
        <v>2.48</v>
      </c>
      <c r="K4" t="s">
        <v>153</v>
      </c>
      <c r="L4" s="7">
        <v>48.98</v>
      </c>
      <c r="M4" s="7">
        <v>56.63</v>
      </c>
      <c r="N4" s="7">
        <v>81.63</v>
      </c>
      <c r="O4" s="7">
        <v>38.270000000000003</v>
      </c>
      <c r="P4" s="7">
        <v>32.65</v>
      </c>
      <c r="Q4" s="7">
        <v>31.63</v>
      </c>
      <c r="R4" s="7">
        <v>6.12</v>
      </c>
      <c r="S4" s="7">
        <v>1.53</v>
      </c>
    </row>
    <row r="5" spans="1:19" x14ac:dyDescent="0.2">
      <c r="K5" t="s">
        <v>154</v>
      </c>
      <c r="L5" s="7">
        <v>60</v>
      </c>
      <c r="M5" s="7">
        <v>47.01</v>
      </c>
      <c r="N5" s="7">
        <v>65.239999999999995</v>
      </c>
      <c r="O5" s="7">
        <v>19.25</v>
      </c>
      <c r="P5" s="7">
        <v>31.97</v>
      </c>
      <c r="Q5" s="7">
        <v>23.81</v>
      </c>
      <c r="R5" s="7">
        <v>3.2</v>
      </c>
      <c r="S5" s="7">
        <v>1.02</v>
      </c>
    </row>
    <row r="6" spans="1:19" x14ac:dyDescent="0.2">
      <c r="A6" t="s">
        <v>153</v>
      </c>
      <c r="B6">
        <v>160</v>
      </c>
      <c r="C6">
        <v>111</v>
      </c>
      <c r="D6">
        <v>62</v>
      </c>
      <c r="E6">
        <v>96</v>
      </c>
      <c r="F6">
        <v>64</v>
      </c>
      <c r="G6">
        <v>75</v>
      </c>
      <c r="H6">
        <v>12</v>
      </c>
      <c r="I6">
        <v>3</v>
      </c>
      <c r="K6" t="s">
        <v>155</v>
      </c>
      <c r="L6" s="7">
        <v>52.09</v>
      </c>
      <c r="M6" s="7">
        <v>55.35</v>
      </c>
      <c r="N6" s="7">
        <v>76.739999999999995</v>
      </c>
      <c r="O6" s="7">
        <v>25.12</v>
      </c>
      <c r="P6" s="7">
        <v>32.090000000000003</v>
      </c>
      <c r="Q6" s="7">
        <v>35.35</v>
      </c>
      <c r="R6" s="7">
        <v>2.79</v>
      </c>
      <c r="S6" s="7">
        <v>4.1900000000000004</v>
      </c>
    </row>
    <row r="7" spans="1:19" x14ac:dyDescent="0.2">
      <c r="A7" t="s">
        <v>153</v>
      </c>
      <c r="B7">
        <v>81.63</v>
      </c>
      <c r="C7">
        <v>56.63</v>
      </c>
      <c r="D7">
        <v>31.63</v>
      </c>
      <c r="E7">
        <v>48.98</v>
      </c>
      <c r="F7">
        <v>32.65</v>
      </c>
      <c r="G7">
        <v>38.270000000000003</v>
      </c>
      <c r="H7" s="1">
        <v>6.12</v>
      </c>
      <c r="I7">
        <v>1.53</v>
      </c>
      <c r="L7" s="7"/>
      <c r="M7" s="7"/>
      <c r="N7" s="7"/>
      <c r="O7" s="7"/>
      <c r="P7" s="7"/>
      <c r="Q7" s="7"/>
      <c r="R7" s="7"/>
      <c r="S7" s="7"/>
    </row>
    <row r="8" spans="1:19" x14ac:dyDescent="0.2">
      <c r="K8" t="s">
        <v>156</v>
      </c>
      <c r="L8" s="7">
        <v>53.85</v>
      </c>
      <c r="M8" s="7">
        <v>69.23</v>
      </c>
      <c r="N8" s="7">
        <v>73.849999999999994</v>
      </c>
      <c r="O8" s="7">
        <v>43.08</v>
      </c>
      <c r="P8" s="7">
        <v>21.54</v>
      </c>
      <c r="Q8" s="7">
        <v>40</v>
      </c>
      <c r="R8" s="7">
        <v>1.54</v>
      </c>
      <c r="S8" s="7">
        <v>4.62</v>
      </c>
    </row>
    <row r="9" spans="1:19" x14ac:dyDescent="0.2">
      <c r="A9" t="s">
        <v>154</v>
      </c>
      <c r="B9">
        <v>959</v>
      </c>
      <c r="C9">
        <v>691</v>
      </c>
      <c r="D9">
        <v>350</v>
      </c>
      <c r="E9">
        <v>882</v>
      </c>
      <c r="F9">
        <v>470</v>
      </c>
      <c r="G9">
        <v>283</v>
      </c>
      <c r="H9">
        <v>47</v>
      </c>
      <c r="I9">
        <v>15</v>
      </c>
      <c r="K9" t="s">
        <v>157</v>
      </c>
      <c r="L9" s="7">
        <v>60</v>
      </c>
      <c r="M9" s="7">
        <v>50.3</v>
      </c>
      <c r="N9" s="7">
        <v>70.91</v>
      </c>
      <c r="O9" s="7">
        <v>54.55</v>
      </c>
      <c r="P9" s="7">
        <v>40.61</v>
      </c>
      <c r="Q9" s="7">
        <v>36.36</v>
      </c>
      <c r="R9" s="7">
        <v>4.8499999999999996</v>
      </c>
      <c r="S9" s="7">
        <v>0</v>
      </c>
    </row>
    <row r="10" spans="1:19" x14ac:dyDescent="0.2">
      <c r="A10" t="s">
        <v>154</v>
      </c>
      <c r="B10">
        <v>65.239999999999995</v>
      </c>
      <c r="C10">
        <v>47.01</v>
      </c>
      <c r="D10">
        <v>23.81</v>
      </c>
      <c r="E10">
        <v>60</v>
      </c>
      <c r="F10">
        <v>31.97</v>
      </c>
      <c r="G10">
        <v>19.25</v>
      </c>
      <c r="H10">
        <v>3.2</v>
      </c>
      <c r="I10">
        <v>1.02</v>
      </c>
      <c r="K10" t="s">
        <v>158</v>
      </c>
      <c r="L10" s="7">
        <v>61.27</v>
      </c>
      <c r="M10" s="7">
        <v>50.11</v>
      </c>
      <c r="N10" s="7">
        <v>66.959999999999994</v>
      </c>
      <c r="O10" s="7">
        <v>31.81</v>
      </c>
      <c r="P10" s="7">
        <v>35.380000000000003</v>
      </c>
      <c r="Q10" s="7">
        <v>28.12</v>
      </c>
      <c r="R10" s="7">
        <v>4.24</v>
      </c>
      <c r="S10" s="7">
        <v>1</v>
      </c>
    </row>
    <row r="11" spans="1:19" x14ac:dyDescent="0.2">
      <c r="K11" t="s">
        <v>159</v>
      </c>
      <c r="L11" s="7">
        <v>59.13</v>
      </c>
      <c r="M11" s="7">
        <v>59.13</v>
      </c>
      <c r="N11" s="7">
        <v>73.08</v>
      </c>
      <c r="O11" s="7">
        <v>42.31</v>
      </c>
      <c r="P11" s="7">
        <v>42.79</v>
      </c>
      <c r="Q11" s="7">
        <v>40.869999999999997</v>
      </c>
      <c r="R11" s="7">
        <v>3.85</v>
      </c>
      <c r="S11" s="7">
        <v>3.85</v>
      </c>
    </row>
    <row r="12" spans="1:19" x14ac:dyDescent="0.2">
      <c r="A12" t="s">
        <v>155</v>
      </c>
      <c r="B12">
        <v>165</v>
      </c>
      <c r="C12">
        <v>119</v>
      </c>
      <c r="D12">
        <v>76</v>
      </c>
      <c r="E12">
        <v>112</v>
      </c>
      <c r="F12">
        <v>69</v>
      </c>
      <c r="G12">
        <v>54</v>
      </c>
      <c r="H12">
        <v>6</v>
      </c>
      <c r="I12">
        <v>9</v>
      </c>
      <c r="L12" s="7"/>
      <c r="M12" s="7"/>
      <c r="N12" s="7"/>
      <c r="O12" s="7"/>
      <c r="P12" s="7"/>
      <c r="Q12" s="7"/>
      <c r="R12" s="7"/>
      <c r="S12" s="7"/>
    </row>
    <row r="13" spans="1:19" x14ac:dyDescent="0.2">
      <c r="A13" t="s">
        <v>155</v>
      </c>
      <c r="B13">
        <v>76.739999999999995</v>
      </c>
      <c r="C13">
        <v>55.35</v>
      </c>
      <c r="D13">
        <v>35.35</v>
      </c>
      <c r="E13">
        <v>52.09</v>
      </c>
      <c r="F13">
        <v>32.090000000000003</v>
      </c>
      <c r="G13" s="1">
        <v>25.12</v>
      </c>
      <c r="H13" s="1">
        <v>2.79</v>
      </c>
      <c r="I13">
        <v>4.1900000000000004</v>
      </c>
      <c r="K13" t="s">
        <v>160</v>
      </c>
      <c r="L13" s="7">
        <v>53.42</v>
      </c>
      <c r="M13" s="7">
        <v>65.75</v>
      </c>
      <c r="N13" s="7">
        <v>49.32</v>
      </c>
      <c r="O13" s="7">
        <v>52.05</v>
      </c>
      <c r="P13" s="7">
        <v>21.92</v>
      </c>
      <c r="Q13" s="7">
        <v>56.16</v>
      </c>
      <c r="R13" s="7">
        <v>6.85</v>
      </c>
      <c r="S13" s="7">
        <v>5.48</v>
      </c>
    </row>
    <row r="14" spans="1:19" x14ac:dyDescent="0.2">
      <c r="K14" t="s">
        <v>161</v>
      </c>
      <c r="L14" s="7">
        <v>43.54</v>
      </c>
      <c r="M14" s="7">
        <v>47.91</v>
      </c>
      <c r="N14" s="7">
        <v>21.87</v>
      </c>
      <c r="O14" s="7">
        <v>81.31</v>
      </c>
      <c r="P14" s="7">
        <v>35.979999999999997</v>
      </c>
      <c r="Q14" s="7">
        <v>37.380000000000003</v>
      </c>
      <c r="R14" s="7">
        <v>6.56</v>
      </c>
      <c r="S14" s="7">
        <v>1.79</v>
      </c>
    </row>
    <row r="15" spans="1:19" x14ac:dyDescent="0.2">
      <c r="A15" t="s">
        <v>156</v>
      </c>
      <c r="B15">
        <v>48</v>
      </c>
      <c r="C15">
        <v>45</v>
      </c>
      <c r="D15">
        <v>26</v>
      </c>
      <c r="E15">
        <v>35</v>
      </c>
      <c r="F15">
        <v>14</v>
      </c>
      <c r="G15">
        <v>28</v>
      </c>
      <c r="H15">
        <v>1</v>
      </c>
      <c r="I15">
        <v>3</v>
      </c>
      <c r="K15" t="s">
        <v>162</v>
      </c>
      <c r="L15" s="7">
        <v>58.56</v>
      </c>
      <c r="M15" s="7">
        <v>48.65</v>
      </c>
      <c r="N15" s="7">
        <v>37.840000000000003</v>
      </c>
      <c r="O15" s="7">
        <v>50.45</v>
      </c>
      <c r="P15" s="7">
        <v>40.18</v>
      </c>
      <c r="Q15" s="7">
        <v>37.840000000000003</v>
      </c>
      <c r="R15" s="7">
        <v>5.23</v>
      </c>
      <c r="S15" s="7">
        <v>3.24</v>
      </c>
    </row>
    <row r="16" spans="1:19" x14ac:dyDescent="0.2">
      <c r="A16" t="s">
        <v>156</v>
      </c>
      <c r="B16">
        <v>73.849999999999994</v>
      </c>
      <c r="C16">
        <v>69.23</v>
      </c>
      <c r="D16">
        <v>40</v>
      </c>
      <c r="E16">
        <v>53.85</v>
      </c>
      <c r="F16">
        <v>21.54</v>
      </c>
      <c r="G16">
        <v>43.08</v>
      </c>
      <c r="H16">
        <v>1.54</v>
      </c>
      <c r="I16">
        <v>4.62</v>
      </c>
      <c r="K16" t="s">
        <v>163</v>
      </c>
      <c r="L16" s="7">
        <v>50.05</v>
      </c>
      <c r="M16" s="7">
        <v>56.47</v>
      </c>
      <c r="N16" s="7">
        <v>21.61</v>
      </c>
      <c r="O16" s="7">
        <v>73.599999999999994</v>
      </c>
      <c r="P16" s="7">
        <v>43.43</v>
      </c>
      <c r="Q16" s="7">
        <v>43.02</v>
      </c>
      <c r="R16" s="7">
        <v>4.18</v>
      </c>
      <c r="S16" s="7">
        <v>3.77</v>
      </c>
    </row>
    <row r="17" spans="1:19" x14ac:dyDescent="0.2">
      <c r="L17" s="7"/>
      <c r="M17" s="7"/>
      <c r="N17" s="7"/>
      <c r="O17" s="7"/>
      <c r="P17" s="7"/>
      <c r="Q17" s="7"/>
      <c r="R17" s="7"/>
      <c r="S17" s="7"/>
    </row>
    <row r="18" spans="1:19" x14ac:dyDescent="0.2">
      <c r="A18" t="s">
        <v>157</v>
      </c>
      <c r="B18">
        <v>117</v>
      </c>
      <c r="C18">
        <v>83</v>
      </c>
      <c r="D18">
        <v>60</v>
      </c>
      <c r="E18">
        <v>99</v>
      </c>
      <c r="F18">
        <v>67</v>
      </c>
      <c r="G18">
        <v>90</v>
      </c>
      <c r="H18">
        <v>8</v>
      </c>
      <c r="I18">
        <v>0</v>
      </c>
      <c r="K18" t="s">
        <v>85</v>
      </c>
    </row>
    <row r="19" spans="1:19" x14ac:dyDescent="0.2">
      <c r="A19" t="s">
        <v>157</v>
      </c>
      <c r="B19">
        <v>70.91</v>
      </c>
      <c r="C19">
        <v>50.3</v>
      </c>
      <c r="D19">
        <v>36.36</v>
      </c>
      <c r="E19">
        <v>60</v>
      </c>
      <c r="F19">
        <v>40.61</v>
      </c>
      <c r="G19">
        <v>54.55</v>
      </c>
      <c r="H19">
        <v>4.8499999999999996</v>
      </c>
      <c r="I19">
        <v>0</v>
      </c>
      <c r="L19" t="s">
        <v>124</v>
      </c>
      <c r="M19" t="s">
        <v>121</v>
      </c>
      <c r="N19" t="s">
        <v>131</v>
      </c>
      <c r="O19" t="s">
        <v>126</v>
      </c>
      <c r="P19" t="s">
        <v>192</v>
      </c>
      <c r="Q19" t="s">
        <v>123</v>
      </c>
      <c r="R19" t="s">
        <v>193</v>
      </c>
      <c r="S19" t="s">
        <v>194</v>
      </c>
    </row>
    <row r="20" spans="1:19" x14ac:dyDescent="0.2">
      <c r="K20" t="s">
        <v>150</v>
      </c>
      <c r="L20" s="4">
        <v>0.5</v>
      </c>
      <c r="M20" s="4">
        <v>0.59</v>
      </c>
      <c r="N20" s="4">
        <v>0.78</v>
      </c>
      <c r="O20" s="4">
        <v>0.26</v>
      </c>
      <c r="P20" s="4">
        <v>0.17</v>
      </c>
      <c r="Q20" s="4">
        <v>0.33</v>
      </c>
      <c r="R20" s="4">
        <v>0</v>
      </c>
      <c r="S20" s="4">
        <v>0.02</v>
      </c>
    </row>
    <row r="21" spans="1:19" x14ac:dyDescent="0.2">
      <c r="A21" t="s">
        <v>158</v>
      </c>
      <c r="B21">
        <v>600</v>
      </c>
      <c r="C21">
        <v>449</v>
      </c>
      <c r="D21">
        <v>252</v>
      </c>
      <c r="E21">
        <v>549</v>
      </c>
      <c r="F21">
        <v>317</v>
      </c>
      <c r="G21">
        <v>285</v>
      </c>
      <c r="H21">
        <v>38</v>
      </c>
      <c r="I21">
        <v>9</v>
      </c>
      <c r="K21" t="s">
        <v>142</v>
      </c>
      <c r="L21" s="4">
        <v>0.49</v>
      </c>
      <c r="M21" s="4">
        <v>0.56999999999999995</v>
      </c>
      <c r="N21" s="4">
        <v>0.82</v>
      </c>
      <c r="O21" s="4">
        <v>0.38</v>
      </c>
      <c r="P21" s="4">
        <v>0.33</v>
      </c>
      <c r="Q21" s="4">
        <v>0.32</v>
      </c>
      <c r="R21" s="4">
        <v>0.06</v>
      </c>
      <c r="S21" s="4">
        <v>0.02</v>
      </c>
    </row>
    <row r="22" spans="1:19" x14ac:dyDescent="0.2">
      <c r="A22" t="s">
        <v>158</v>
      </c>
      <c r="B22">
        <v>66.959999999999994</v>
      </c>
      <c r="C22">
        <v>50.11</v>
      </c>
      <c r="D22">
        <v>28.12</v>
      </c>
      <c r="E22">
        <v>61.27</v>
      </c>
      <c r="F22">
        <v>35.380000000000003</v>
      </c>
      <c r="G22">
        <v>31.81</v>
      </c>
      <c r="H22">
        <v>4.24</v>
      </c>
      <c r="I22">
        <v>1</v>
      </c>
      <c r="K22" t="s">
        <v>195</v>
      </c>
      <c r="L22" s="4">
        <v>0.6</v>
      </c>
      <c r="M22" s="4">
        <v>0.47</v>
      </c>
      <c r="N22" s="4">
        <v>0.65</v>
      </c>
      <c r="O22" s="4">
        <v>0.19</v>
      </c>
      <c r="P22" s="4">
        <v>0.32</v>
      </c>
      <c r="Q22" s="4">
        <v>0.24</v>
      </c>
      <c r="R22" s="4">
        <v>0.03</v>
      </c>
      <c r="S22" s="4">
        <v>0.01</v>
      </c>
    </row>
    <row r="23" spans="1:19" x14ac:dyDescent="0.2">
      <c r="K23" t="s">
        <v>149</v>
      </c>
      <c r="L23" s="4">
        <v>0.42</v>
      </c>
      <c r="M23" s="4">
        <v>0.55000000000000004</v>
      </c>
      <c r="N23" s="4">
        <v>0.77</v>
      </c>
      <c r="O23" s="4">
        <v>0.25</v>
      </c>
      <c r="P23" s="4">
        <v>0.32</v>
      </c>
      <c r="Q23" s="4">
        <v>0.35</v>
      </c>
      <c r="R23" s="4">
        <v>0.03</v>
      </c>
      <c r="S23" s="4">
        <v>0.04</v>
      </c>
    </row>
    <row r="24" spans="1:19" x14ac:dyDescent="0.2">
      <c r="A24" t="s">
        <v>159</v>
      </c>
      <c r="B24">
        <v>152</v>
      </c>
      <c r="C24">
        <v>123</v>
      </c>
      <c r="D24">
        <v>85</v>
      </c>
      <c r="E24">
        <v>123</v>
      </c>
      <c r="F24">
        <v>89</v>
      </c>
      <c r="G24">
        <v>88</v>
      </c>
      <c r="H24">
        <v>8</v>
      </c>
      <c r="I24">
        <v>8</v>
      </c>
      <c r="L24" s="4"/>
      <c r="M24" s="4"/>
      <c r="N24" s="4"/>
      <c r="O24" s="4"/>
      <c r="P24" s="4"/>
      <c r="Q24" s="4"/>
      <c r="R24" s="4"/>
      <c r="S24" s="4"/>
    </row>
    <row r="25" spans="1:19" x14ac:dyDescent="0.2">
      <c r="A25" t="s">
        <v>159</v>
      </c>
      <c r="B25">
        <v>73.08</v>
      </c>
      <c r="C25">
        <v>59.13</v>
      </c>
      <c r="D25">
        <v>40.869999999999997</v>
      </c>
      <c r="E25">
        <v>59.13</v>
      </c>
      <c r="F25">
        <v>42.79</v>
      </c>
      <c r="G25">
        <v>42.31</v>
      </c>
      <c r="H25">
        <v>3.85</v>
      </c>
      <c r="I25">
        <v>3.85</v>
      </c>
      <c r="K25" t="s">
        <v>196</v>
      </c>
      <c r="P25" s="4"/>
    </row>
    <row r="26" spans="1:19" x14ac:dyDescent="0.2">
      <c r="L26" t="s">
        <v>124</v>
      </c>
      <c r="M26" t="s">
        <v>121</v>
      </c>
      <c r="N26" t="s">
        <v>131</v>
      </c>
      <c r="O26" t="s">
        <v>126</v>
      </c>
      <c r="P26" t="s">
        <v>192</v>
      </c>
      <c r="Q26" t="s">
        <v>123</v>
      </c>
      <c r="R26" t="s">
        <v>193</v>
      </c>
      <c r="S26" t="s">
        <v>194</v>
      </c>
    </row>
    <row r="27" spans="1:19" x14ac:dyDescent="0.2">
      <c r="A27" t="s">
        <v>160</v>
      </c>
      <c r="B27">
        <v>36</v>
      </c>
      <c r="C27">
        <v>48</v>
      </c>
      <c r="D27">
        <v>41</v>
      </c>
      <c r="E27">
        <v>39</v>
      </c>
      <c r="F27">
        <v>16</v>
      </c>
      <c r="G27">
        <v>38</v>
      </c>
      <c r="H27">
        <v>5</v>
      </c>
      <c r="I27">
        <v>4</v>
      </c>
      <c r="K27" t="s">
        <v>150</v>
      </c>
      <c r="L27" s="4">
        <v>0.54</v>
      </c>
      <c r="M27" s="4">
        <v>0.69</v>
      </c>
      <c r="N27" s="4">
        <v>0.74</v>
      </c>
      <c r="O27" s="4">
        <v>0.43</v>
      </c>
      <c r="P27" s="4">
        <v>0.22</v>
      </c>
      <c r="Q27" s="4">
        <v>0.4</v>
      </c>
      <c r="R27" s="4">
        <v>0.02</v>
      </c>
      <c r="S27" s="4">
        <v>0.05</v>
      </c>
    </row>
    <row r="28" spans="1:19" x14ac:dyDescent="0.2">
      <c r="A28" t="s">
        <v>160</v>
      </c>
      <c r="B28">
        <v>49.32</v>
      </c>
      <c r="C28">
        <v>65.75</v>
      </c>
      <c r="D28">
        <v>56.16</v>
      </c>
      <c r="E28">
        <v>53.42</v>
      </c>
      <c r="F28">
        <v>21.92</v>
      </c>
      <c r="G28">
        <v>52.05</v>
      </c>
      <c r="H28">
        <v>6.85</v>
      </c>
      <c r="I28">
        <v>5.48</v>
      </c>
      <c r="K28" t="s">
        <v>142</v>
      </c>
      <c r="L28" s="4">
        <v>0.6</v>
      </c>
      <c r="M28" s="4">
        <v>0.5</v>
      </c>
      <c r="N28" s="4">
        <v>0.71</v>
      </c>
      <c r="O28" s="4">
        <v>0.55000000000000004</v>
      </c>
      <c r="P28" s="4">
        <v>0.41</v>
      </c>
      <c r="Q28" s="4">
        <v>0.36</v>
      </c>
      <c r="R28" s="4">
        <v>0.05</v>
      </c>
      <c r="S28" s="4">
        <v>0</v>
      </c>
    </row>
    <row r="29" spans="1:19" x14ac:dyDescent="0.2">
      <c r="K29" t="s">
        <v>195</v>
      </c>
      <c r="L29" s="4">
        <v>0.61</v>
      </c>
      <c r="M29" s="4">
        <v>0.5</v>
      </c>
      <c r="N29" s="4">
        <v>0.67</v>
      </c>
      <c r="O29" s="4">
        <v>0.32</v>
      </c>
      <c r="P29" s="4">
        <v>0.35</v>
      </c>
      <c r="Q29" s="4">
        <v>0.28000000000000003</v>
      </c>
      <c r="R29" s="4">
        <v>0.04</v>
      </c>
      <c r="S29" s="4">
        <v>0.01</v>
      </c>
    </row>
    <row r="30" spans="1:19" x14ac:dyDescent="0.2">
      <c r="A30" t="s">
        <v>161</v>
      </c>
      <c r="B30">
        <v>110</v>
      </c>
      <c r="C30">
        <v>241</v>
      </c>
      <c r="D30">
        <v>188</v>
      </c>
      <c r="E30">
        <v>219</v>
      </c>
      <c r="F30">
        <v>181</v>
      </c>
      <c r="G30">
        <v>409</v>
      </c>
      <c r="H30">
        <v>33</v>
      </c>
      <c r="I30">
        <v>9</v>
      </c>
      <c r="K30" t="s">
        <v>149</v>
      </c>
      <c r="L30" s="4">
        <v>0.59</v>
      </c>
      <c r="M30" s="4">
        <v>0.59</v>
      </c>
      <c r="N30" s="4">
        <v>0.73</v>
      </c>
      <c r="O30" s="4">
        <v>0.42</v>
      </c>
      <c r="P30" s="4">
        <v>0.43</v>
      </c>
      <c r="Q30" s="4">
        <v>0.41</v>
      </c>
      <c r="R30" s="4">
        <v>0.04</v>
      </c>
      <c r="S30" s="4">
        <v>0.04</v>
      </c>
    </row>
    <row r="31" spans="1:19" x14ac:dyDescent="0.2">
      <c r="A31" t="s">
        <v>161</v>
      </c>
      <c r="B31">
        <v>21.87</v>
      </c>
      <c r="C31">
        <v>47.91</v>
      </c>
      <c r="D31">
        <v>37.380000000000003</v>
      </c>
      <c r="E31">
        <v>43.54</v>
      </c>
      <c r="F31">
        <v>35.979999999999997</v>
      </c>
      <c r="G31">
        <v>81.31</v>
      </c>
      <c r="H31">
        <v>6.56</v>
      </c>
      <c r="I31">
        <v>1.79</v>
      </c>
    </row>
    <row r="32" spans="1:19" x14ac:dyDescent="0.2">
      <c r="K32" t="s">
        <v>197</v>
      </c>
    </row>
    <row r="33" spans="1:19" x14ac:dyDescent="0.2">
      <c r="A33" t="s">
        <v>162</v>
      </c>
      <c r="B33">
        <v>210</v>
      </c>
      <c r="C33">
        <v>270</v>
      </c>
      <c r="D33">
        <v>210</v>
      </c>
      <c r="E33">
        <v>325</v>
      </c>
      <c r="F33">
        <v>223</v>
      </c>
      <c r="G33">
        <v>280</v>
      </c>
      <c r="H33">
        <v>29</v>
      </c>
      <c r="I33">
        <v>18</v>
      </c>
      <c r="L33" t="s">
        <v>124</v>
      </c>
      <c r="M33" t="s">
        <v>121</v>
      </c>
      <c r="N33" t="s">
        <v>131</v>
      </c>
      <c r="O33" t="s">
        <v>126</v>
      </c>
      <c r="P33" t="s">
        <v>192</v>
      </c>
      <c r="Q33" t="s">
        <v>123</v>
      </c>
      <c r="R33" t="s">
        <v>193</v>
      </c>
      <c r="S33" t="s">
        <v>194</v>
      </c>
    </row>
    <row r="34" spans="1:19" x14ac:dyDescent="0.2">
      <c r="A34" t="s">
        <v>162</v>
      </c>
      <c r="B34">
        <v>37.840000000000003</v>
      </c>
      <c r="C34">
        <v>48.65</v>
      </c>
      <c r="D34">
        <v>37.840000000000003</v>
      </c>
      <c r="E34">
        <v>58.56</v>
      </c>
      <c r="F34">
        <v>40.18</v>
      </c>
      <c r="G34">
        <v>50.45</v>
      </c>
      <c r="H34">
        <v>5.23</v>
      </c>
      <c r="I34">
        <v>3.24</v>
      </c>
      <c r="K34" t="s">
        <v>150</v>
      </c>
      <c r="L34" s="4">
        <v>0.53</v>
      </c>
      <c r="M34" s="4">
        <v>0.66</v>
      </c>
      <c r="N34" s="4">
        <v>0.49</v>
      </c>
      <c r="O34" s="4">
        <v>0.52</v>
      </c>
      <c r="P34" s="4">
        <v>0.22</v>
      </c>
      <c r="Q34" s="4">
        <v>0.56000000000000005</v>
      </c>
      <c r="R34" s="4">
        <v>7.0000000000000007E-2</v>
      </c>
      <c r="S34" s="4">
        <v>0.05</v>
      </c>
    </row>
    <row r="35" spans="1:19" x14ac:dyDescent="0.2">
      <c r="K35" t="s">
        <v>142</v>
      </c>
      <c r="L35" s="4">
        <v>0.44</v>
      </c>
      <c r="M35" s="4">
        <v>0.48</v>
      </c>
      <c r="N35" s="4">
        <v>0.22</v>
      </c>
      <c r="O35" s="4">
        <v>0.81</v>
      </c>
      <c r="P35" s="4">
        <v>0.36</v>
      </c>
      <c r="Q35" s="4">
        <v>0.37</v>
      </c>
      <c r="R35" s="4">
        <v>7.0000000000000007E-2</v>
      </c>
      <c r="S35" s="4">
        <v>0.02</v>
      </c>
    </row>
    <row r="36" spans="1:19" x14ac:dyDescent="0.2">
      <c r="A36" t="s">
        <v>163</v>
      </c>
      <c r="B36">
        <v>212</v>
      </c>
      <c r="C36">
        <v>554</v>
      </c>
      <c r="D36">
        <v>422</v>
      </c>
      <c r="E36">
        <v>491</v>
      </c>
      <c r="F36">
        <v>426</v>
      </c>
      <c r="G36">
        <v>722</v>
      </c>
      <c r="H36">
        <v>41</v>
      </c>
      <c r="I36">
        <v>37</v>
      </c>
      <c r="K36" t="s">
        <v>195</v>
      </c>
      <c r="L36" s="4">
        <v>0.59</v>
      </c>
      <c r="M36" s="4">
        <v>0.49</v>
      </c>
      <c r="N36" s="4">
        <v>0.38</v>
      </c>
      <c r="O36" s="4">
        <v>0.5</v>
      </c>
      <c r="P36" s="4">
        <v>0.4</v>
      </c>
      <c r="Q36" s="4">
        <v>0.38</v>
      </c>
      <c r="R36" s="4">
        <v>0.05</v>
      </c>
      <c r="S36" s="4">
        <v>0.03</v>
      </c>
    </row>
    <row r="37" spans="1:19" x14ac:dyDescent="0.2">
      <c r="A37" t="s">
        <v>163</v>
      </c>
      <c r="B37">
        <v>21.61</v>
      </c>
      <c r="C37">
        <v>56.47</v>
      </c>
      <c r="D37">
        <v>43.02</v>
      </c>
      <c r="E37">
        <v>50.05</v>
      </c>
      <c r="F37">
        <v>43.43</v>
      </c>
      <c r="G37">
        <v>73.599999999999994</v>
      </c>
      <c r="H37">
        <v>4.18</v>
      </c>
      <c r="I37">
        <v>3.77</v>
      </c>
      <c r="K37" t="s">
        <v>149</v>
      </c>
      <c r="L37" s="4">
        <v>0.5</v>
      </c>
      <c r="M37" s="4">
        <v>0.56000000000000005</v>
      </c>
      <c r="N37" s="4">
        <v>0.22</v>
      </c>
      <c r="O37" s="4">
        <v>0.74</v>
      </c>
      <c r="P37" s="4">
        <v>0.43</v>
      </c>
      <c r="Q37" s="4">
        <v>0.43</v>
      </c>
      <c r="R37" s="4">
        <v>0.04</v>
      </c>
      <c r="S37" s="4">
        <v>0.04</v>
      </c>
    </row>
    <row r="39" spans="1:19" x14ac:dyDescent="0.2">
      <c r="A39" t="s">
        <v>4</v>
      </c>
      <c r="B39" s="1">
        <v>2863</v>
      </c>
      <c r="C39" s="1">
        <v>2805</v>
      </c>
      <c r="D39" s="1">
        <v>1812</v>
      </c>
      <c r="E39" s="1">
        <v>3031</v>
      </c>
      <c r="F39" s="1">
        <v>1956</v>
      </c>
      <c r="G39" s="1">
        <v>2384</v>
      </c>
      <c r="H39">
        <v>228</v>
      </c>
      <c r="I39">
        <v>118</v>
      </c>
    </row>
    <row r="40" spans="1:19" x14ac:dyDescent="0.2">
      <c r="B40">
        <v>52.55</v>
      </c>
      <c r="C40">
        <v>51.49</v>
      </c>
      <c r="D40">
        <v>33.26</v>
      </c>
      <c r="E40">
        <v>55.64</v>
      </c>
      <c r="F40">
        <v>35.9</v>
      </c>
      <c r="G40">
        <v>43.76</v>
      </c>
      <c r="H40">
        <v>4.1900000000000004</v>
      </c>
      <c r="I40">
        <v>2.17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45216-26A0-9141-8BB9-98E7477FBCB0}">
  <dimension ref="A1:S32"/>
  <sheetViews>
    <sheetView workbookViewId="0">
      <selection activeCell="M14" sqref="M14"/>
    </sheetView>
  </sheetViews>
  <sheetFormatPr baseColWidth="10" defaultRowHeight="16" x14ac:dyDescent="0.2"/>
  <cols>
    <col min="1" max="1" width="20.1640625" customWidth="1"/>
  </cols>
  <sheetData>
    <row r="1" spans="1:19" x14ac:dyDescent="0.2">
      <c r="A1" t="s">
        <v>106</v>
      </c>
      <c r="F1" t="s">
        <v>101</v>
      </c>
      <c r="K1" t="s">
        <v>103</v>
      </c>
      <c r="P1" t="s">
        <v>105</v>
      </c>
    </row>
    <row r="2" spans="1:19" x14ac:dyDescent="0.2">
      <c r="A2" t="s">
        <v>99</v>
      </c>
      <c r="B2" t="s">
        <v>1</v>
      </c>
      <c r="C2" t="s">
        <v>2</v>
      </c>
      <c r="D2" t="s">
        <v>3</v>
      </c>
      <c r="F2" t="s">
        <v>100</v>
      </c>
      <c r="G2" t="s">
        <v>1</v>
      </c>
      <c r="H2" t="s">
        <v>2</v>
      </c>
      <c r="I2" t="s">
        <v>3</v>
      </c>
      <c r="K2" t="s">
        <v>102</v>
      </c>
      <c r="L2" t="s">
        <v>1</v>
      </c>
      <c r="M2" t="s">
        <v>2</v>
      </c>
      <c r="N2" t="s">
        <v>3</v>
      </c>
      <c r="P2" t="s">
        <v>104</v>
      </c>
      <c r="Q2" t="s">
        <v>1</v>
      </c>
      <c r="R2" t="s">
        <v>2</v>
      </c>
      <c r="S2" t="s">
        <v>3</v>
      </c>
    </row>
    <row r="4" spans="1:19" x14ac:dyDescent="0.2">
      <c r="A4">
        <v>0</v>
      </c>
      <c r="B4" s="1">
        <v>1811</v>
      </c>
      <c r="C4">
        <v>28.54</v>
      </c>
      <c r="D4">
        <v>28.54</v>
      </c>
      <c r="F4">
        <v>0</v>
      </c>
      <c r="G4" s="1">
        <v>3624</v>
      </c>
      <c r="H4">
        <v>57.11</v>
      </c>
      <c r="I4">
        <v>57.11</v>
      </c>
      <c r="K4">
        <v>0</v>
      </c>
      <c r="L4" s="1">
        <v>2843</v>
      </c>
      <c r="M4">
        <v>44.8</v>
      </c>
      <c r="N4">
        <v>44.8</v>
      </c>
      <c r="P4">
        <v>0</v>
      </c>
      <c r="Q4" s="1">
        <v>4514</v>
      </c>
      <c r="R4">
        <v>71.13</v>
      </c>
      <c r="S4">
        <v>71.13</v>
      </c>
    </row>
    <row r="5" spans="1:19" x14ac:dyDescent="0.2">
      <c r="A5">
        <v>1</v>
      </c>
      <c r="B5" s="1">
        <v>4535</v>
      </c>
      <c r="C5">
        <v>71.459999999999994</v>
      </c>
      <c r="D5">
        <v>100</v>
      </c>
      <c r="F5">
        <v>1</v>
      </c>
      <c r="G5" s="1">
        <v>2722</v>
      </c>
      <c r="H5">
        <v>42.89</v>
      </c>
      <c r="I5">
        <v>100</v>
      </c>
      <c r="K5">
        <v>1</v>
      </c>
      <c r="L5" s="1">
        <v>3503</v>
      </c>
      <c r="M5">
        <v>55.2</v>
      </c>
      <c r="N5">
        <v>100</v>
      </c>
      <c r="P5">
        <v>1</v>
      </c>
      <c r="Q5" s="1">
        <v>1832</v>
      </c>
      <c r="R5">
        <v>28.87</v>
      </c>
      <c r="S5">
        <v>100</v>
      </c>
    </row>
    <row r="7" spans="1:19" x14ac:dyDescent="0.2">
      <c r="A7" t="s">
        <v>4</v>
      </c>
      <c r="B7" s="1">
        <v>6346</v>
      </c>
      <c r="C7">
        <v>100</v>
      </c>
      <c r="F7" t="s">
        <v>4</v>
      </c>
      <c r="G7" s="1">
        <v>6346</v>
      </c>
      <c r="H7">
        <v>100</v>
      </c>
      <c r="K7" t="s">
        <v>4</v>
      </c>
      <c r="L7" s="1">
        <v>6346</v>
      </c>
      <c r="M7">
        <v>100</v>
      </c>
      <c r="P7" t="s">
        <v>4</v>
      </c>
      <c r="Q7" s="1">
        <v>6346</v>
      </c>
      <c r="R7">
        <v>100</v>
      </c>
    </row>
    <row r="11" spans="1:19" x14ac:dyDescent="0.2">
      <c r="A11" t="s">
        <v>88</v>
      </c>
      <c r="B11">
        <v>0</v>
      </c>
      <c r="C11">
        <v>1</v>
      </c>
      <c r="D11" t="s">
        <v>4</v>
      </c>
      <c r="F11" t="s">
        <v>88</v>
      </c>
      <c r="G11">
        <v>0</v>
      </c>
      <c r="H11">
        <v>1</v>
      </c>
      <c r="I11" t="s">
        <v>4</v>
      </c>
      <c r="K11" t="s">
        <v>88</v>
      </c>
      <c r="L11">
        <v>0</v>
      </c>
      <c r="M11">
        <v>1</v>
      </c>
      <c r="N11" t="s">
        <v>4</v>
      </c>
      <c r="P11" t="s">
        <v>88</v>
      </c>
      <c r="Q11">
        <v>0</v>
      </c>
      <c r="R11">
        <v>1</v>
      </c>
      <c r="S11" t="s">
        <v>4</v>
      </c>
    </row>
    <row r="13" spans="1:19" x14ac:dyDescent="0.2">
      <c r="A13" t="s">
        <v>89</v>
      </c>
      <c r="B13">
        <v>928</v>
      </c>
      <c r="C13">
        <v>806</v>
      </c>
      <c r="D13" s="1">
        <v>1734</v>
      </c>
      <c r="F13" t="s">
        <v>89</v>
      </c>
      <c r="G13" s="1">
        <v>1395</v>
      </c>
      <c r="H13">
        <v>339</v>
      </c>
      <c r="I13" s="1">
        <v>1734</v>
      </c>
      <c r="K13" t="s">
        <v>89</v>
      </c>
      <c r="L13">
        <v>544</v>
      </c>
      <c r="M13" s="1">
        <v>1190</v>
      </c>
      <c r="N13" s="1">
        <v>1734</v>
      </c>
      <c r="P13" t="s">
        <v>89</v>
      </c>
      <c r="Q13" s="1">
        <v>1476</v>
      </c>
      <c r="R13">
        <v>258</v>
      </c>
      <c r="S13" s="1">
        <v>1734</v>
      </c>
    </row>
    <row r="14" spans="1:19" x14ac:dyDescent="0.2">
      <c r="B14">
        <v>53.52</v>
      </c>
      <c r="C14">
        <v>46.48</v>
      </c>
      <c r="D14">
        <v>100</v>
      </c>
      <c r="G14">
        <v>80.45</v>
      </c>
      <c r="H14">
        <v>19.55</v>
      </c>
      <c r="I14">
        <v>100</v>
      </c>
      <c r="L14">
        <v>31.37</v>
      </c>
      <c r="M14">
        <v>68.63</v>
      </c>
      <c r="N14">
        <v>100</v>
      </c>
      <c r="Q14">
        <v>85.12</v>
      </c>
      <c r="R14">
        <v>14.88</v>
      </c>
      <c r="S14">
        <v>100</v>
      </c>
    </row>
    <row r="16" spans="1:19" x14ac:dyDescent="0.2">
      <c r="A16" t="s">
        <v>90</v>
      </c>
      <c r="B16">
        <v>417</v>
      </c>
      <c r="C16" s="1">
        <v>1148</v>
      </c>
      <c r="D16" s="1">
        <v>1565</v>
      </c>
      <c r="F16" t="s">
        <v>90</v>
      </c>
      <c r="G16">
        <v>837</v>
      </c>
      <c r="H16">
        <v>728</v>
      </c>
      <c r="I16" s="1">
        <v>1565</v>
      </c>
      <c r="K16" t="s">
        <v>90</v>
      </c>
      <c r="L16">
        <v>826</v>
      </c>
      <c r="M16">
        <v>739</v>
      </c>
      <c r="N16" s="1">
        <v>1565</v>
      </c>
      <c r="P16" t="s">
        <v>90</v>
      </c>
      <c r="Q16" s="1">
        <v>1212</v>
      </c>
      <c r="R16">
        <v>353</v>
      </c>
      <c r="S16" s="1">
        <v>1565</v>
      </c>
    </row>
    <row r="17" spans="1:19" x14ac:dyDescent="0.2">
      <c r="B17">
        <v>26.65</v>
      </c>
      <c r="C17">
        <v>73.349999999999994</v>
      </c>
      <c r="D17">
        <v>100</v>
      </c>
      <c r="G17">
        <v>53.48</v>
      </c>
      <c r="H17">
        <v>46.52</v>
      </c>
      <c r="I17">
        <v>100</v>
      </c>
      <c r="L17">
        <v>52.78</v>
      </c>
      <c r="M17">
        <v>47.22</v>
      </c>
      <c r="N17">
        <v>100</v>
      </c>
      <c r="Q17">
        <v>77.44</v>
      </c>
      <c r="R17">
        <v>22.56</v>
      </c>
      <c r="S17">
        <v>100</v>
      </c>
    </row>
    <row r="19" spans="1:19" x14ac:dyDescent="0.2">
      <c r="A19" t="s">
        <v>91</v>
      </c>
      <c r="B19">
        <v>274</v>
      </c>
      <c r="C19" s="1">
        <v>1411</v>
      </c>
      <c r="D19" s="1">
        <v>1685</v>
      </c>
      <c r="F19" t="s">
        <v>91</v>
      </c>
      <c r="G19">
        <v>756</v>
      </c>
      <c r="H19">
        <v>929</v>
      </c>
      <c r="I19" s="1">
        <v>1685</v>
      </c>
      <c r="K19" t="s">
        <v>91</v>
      </c>
      <c r="L19">
        <v>838</v>
      </c>
      <c r="M19">
        <v>847</v>
      </c>
      <c r="N19" s="1">
        <v>1685</v>
      </c>
      <c r="P19" t="s">
        <v>91</v>
      </c>
      <c r="Q19">
        <v>931</v>
      </c>
      <c r="R19">
        <v>754</v>
      </c>
      <c r="S19" s="1">
        <v>1685</v>
      </c>
    </row>
    <row r="20" spans="1:19" x14ac:dyDescent="0.2">
      <c r="B20">
        <v>16.260000000000002</v>
      </c>
      <c r="C20">
        <v>83.74</v>
      </c>
      <c r="D20">
        <v>100</v>
      </c>
      <c r="G20">
        <v>44.87</v>
      </c>
      <c r="H20">
        <v>55.13</v>
      </c>
      <c r="I20">
        <v>100</v>
      </c>
      <c r="L20">
        <v>49.73</v>
      </c>
      <c r="M20">
        <v>50.27</v>
      </c>
      <c r="N20">
        <v>100</v>
      </c>
      <c r="Q20">
        <v>55.25</v>
      </c>
      <c r="R20">
        <v>44.75</v>
      </c>
      <c r="S20">
        <v>100</v>
      </c>
    </row>
    <row r="22" spans="1:19" x14ac:dyDescent="0.2">
      <c r="A22" t="s">
        <v>92</v>
      </c>
      <c r="B22">
        <v>37</v>
      </c>
      <c r="C22">
        <v>430</v>
      </c>
      <c r="D22">
        <v>467</v>
      </c>
      <c r="F22" t="s">
        <v>92</v>
      </c>
      <c r="G22">
        <v>197</v>
      </c>
      <c r="H22">
        <v>270</v>
      </c>
      <c r="I22">
        <v>467</v>
      </c>
      <c r="K22" t="s">
        <v>92</v>
      </c>
      <c r="L22">
        <v>217</v>
      </c>
      <c r="M22">
        <v>250</v>
      </c>
      <c r="N22">
        <v>467</v>
      </c>
      <c r="P22" t="s">
        <v>92</v>
      </c>
      <c r="Q22">
        <v>284</v>
      </c>
      <c r="R22">
        <v>183</v>
      </c>
      <c r="S22">
        <v>467</v>
      </c>
    </row>
    <row r="23" spans="1:19" x14ac:dyDescent="0.2">
      <c r="B23">
        <v>7.92</v>
      </c>
      <c r="C23">
        <v>92.08</v>
      </c>
      <c r="D23">
        <v>100</v>
      </c>
      <c r="G23">
        <v>42.18</v>
      </c>
      <c r="H23">
        <v>57.82</v>
      </c>
      <c r="I23">
        <v>100</v>
      </c>
      <c r="L23">
        <v>46.47</v>
      </c>
      <c r="M23">
        <v>53.53</v>
      </c>
      <c r="N23">
        <v>100</v>
      </c>
      <c r="Q23">
        <v>60.81</v>
      </c>
      <c r="R23">
        <v>39.19</v>
      </c>
      <c r="S23">
        <v>100</v>
      </c>
    </row>
    <row r="25" spans="1:19" x14ac:dyDescent="0.2">
      <c r="A25" t="s">
        <v>93</v>
      </c>
      <c r="B25">
        <v>48</v>
      </c>
      <c r="C25">
        <v>30</v>
      </c>
      <c r="D25">
        <v>78</v>
      </c>
      <c r="F25" t="s">
        <v>93</v>
      </c>
      <c r="G25">
        <v>56</v>
      </c>
      <c r="H25">
        <v>22</v>
      </c>
      <c r="I25">
        <v>78</v>
      </c>
      <c r="K25" t="s">
        <v>93</v>
      </c>
      <c r="L25">
        <v>19</v>
      </c>
      <c r="M25">
        <v>59</v>
      </c>
      <c r="N25">
        <v>78</v>
      </c>
      <c r="P25" t="s">
        <v>93</v>
      </c>
      <c r="Q25">
        <v>68</v>
      </c>
      <c r="R25">
        <v>10</v>
      </c>
      <c r="S25">
        <v>78</v>
      </c>
    </row>
    <row r="26" spans="1:19" x14ac:dyDescent="0.2">
      <c r="B26">
        <v>61.54</v>
      </c>
      <c r="C26">
        <v>38.46</v>
      </c>
      <c r="D26">
        <v>100</v>
      </c>
      <c r="G26">
        <v>71.790000000000006</v>
      </c>
      <c r="H26">
        <v>28.21</v>
      </c>
      <c r="I26">
        <v>100</v>
      </c>
      <c r="L26">
        <v>24.36</v>
      </c>
      <c r="M26">
        <v>75.64</v>
      </c>
      <c r="N26">
        <v>100</v>
      </c>
      <c r="Q26">
        <v>87.18</v>
      </c>
      <c r="R26">
        <v>12.82</v>
      </c>
      <c r="S26">
        <v>100</v>
      </c>
    </row>
    <row r="28" spans="1:19" x14ac:dyDescent="0.2">
      <c r="A28" t="s">
        <v>94</v>
      </c>
      <c r="B28">
        <v>107</v>
      </c>
      <c r="C28">
        <v>710</v>
      </c>
      <c r="D28">
        <v>817</v>
      </c>
      <c r="F28" t="s">
        <v>94</v>
      </c>
      <c r="G28">
        <v>383</v>
      </c>
      <c r="H28">
        <v>434</v>
      </c>
      <c r="I28">
        <v>817</v>
      </c>
      <c r="K28" t="s">
        <v>94</v>
      </c>
      <c r="L28">
        <v>399</v>
      </c>
      <c r="M28">
        <v>418</v>
      </c>
      <c r="N28">
        <v>817</v>
      </c>
      <c r="P28" t="s">
        <v>94</v>
      </c>
      <c r="Q28">
        <v>543</v>
      </c>
      <c r="R28">
        <v>274</v>
      </c>
      <c r="S28">
        <v>817</v>
      </c>
    </row>
    <row r="29" spans="1:19" x14ac:dyDescent="0.2">
      <c r="B29">
        <v>13.1</v>
      </c>
      <c r="C29">
        <v>86.9</v>
      </c>
      <c r="D29">
        <v>100</v>
      </c>
      <c r="G29">
        <v>46.88</v>
      </c>
      <c r="H29">
        <v>53.12</v>
      </c>
      <c r="I29">
        <v>100</v>
      </c>
      <c r="L29">
        <v>48.84</v>
      </c>
      <c r="M29">
        <v>51.16</v>
      </c>
      <c r="N29">
        <v>100</v>
      </c>
      <c r="Q29">
        <v>66.459999999999994</v>
      </c>
      <c r="R29">
        <v>33.54</v>
      </c>
      <c r="S29">
        <v>100</v>
      </c>
    </row>
    <row r="31" spans="1:19" x14ac:dyDescent="0.2">
      <c r="A31" t="s">
        <v>4</v>
      </c>
      <c r="B31" s="1">
        <v>1811</v>
      </c>
      <c r="C31" s="1">
        <v>4535</v>
      </c>
      <c r="D31" s="1">
        <v>6346</v>
      </c>
      <c r="F31" t="s">
        <v>4</v>
      </c>
      <c r="G31" s="1">
        <v>3624</v>
      </c>
      <c r="H31" s="1">
        <v>2722</v>
      </c>
      <c r="I31" s="1">
        <v>6346</v>
      </c>
      <c r="K31" t="s">
        <v>4</v>
      </c>
      <c r="L31" s="1">
        <v>2843</v>
      </c>
      <c r="M31" s="1">
        <v>3503</v>
      </c>
      <c r="N31" s="1">
        <v>6346</v>
      </c>
      <c r="P31" t="s">
        <v>4</v>
      </c>
      <c r="Q31" s="1">
        <v>4514</v>
      </c>
      <c r="R31" s="1">
        <v>1832</v>
      </c>
      <c r="S31" s="1">
        <v>6346</v>
      </c>
    </row>
    <row r="32" spans="1:19" x14ac:dyDescent="0.2">
      <c r="B32">
        <v>28.54</v>
      </c>
      <c r="C32">
        <v>71.459999999999994</v>
      </c>
      <c r="D32">
        <v>100</v>
      </c>
      <c r="G32">
        <v>57.11</v>
      </c>
      <c r="H32">
        <v>42.89</v>
      </c>
      <c r="I32">
        <v>100</v>
      </c>
      <c r="L32">
        <v>44.8</v>
      </c>
      <c r="M32">
        <v>55.2</v>
      </c>
      <c r="N32">
        <v>100</v>
      </c>
      <c r="Q32">
        <v>71.13</v>
      </c>
      <c r="R32">
        <v>28.87</v>
      </c>
      <c r="S32">
        <v>100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462E4-A822-FD47-B376-42EAFC2DF749}">
  <dimension ref="A1:G21"/>
  <sheetViews>
    <sheetView topLeftCell="G1" workbookViewId="0">
      <selection activeCell="F29" sqref="F29"/>
    </sheetView>
  </sheetViews>
  <sheetFormatPr baseColWidth="10" defaultRowHeight="16" x14ac:dyDescent="0.2"/>
  <cols>
    <col min="1" max="1" width="17.33203125" customWidth="1"/>
    <col min="6" max="6" width="27.33203125" customWidth="1"/>
  </cols>
  <sheetData>
    <row r="1" spans="1:7" ht="51" customHeight="1" x14ac:dyDescent="0.2">
      <c r="A1" s="5" t="s">
        <v>58</v>
      </c>
      <c r="B1" s="5" t="s">
        <v>59</v>
      </c>
      <c r="C1" s="5" t="s">
        <v>60</v>
      </c>
      <c r="G1" t="s">
        <v>70</v>
      </c>
    </row>
    <row r="2" spans="1:7" ht="30" x14ac:dyDescent="0.2">
      <c r="A2" s="5" t="s">
        <v>61</v>
      </c>
      <c r="B2" s="5">
        <v>555</v>
      </c>
      <c r="C2" s="6">
        <v>0.38</v>
      </c>
      <c r="F2" s="5" t="s">
        <v>61</v>
      </c>
      <c r="G2" s="6">
        <v>0.38</v>
      </c>
    </row>
    <row r="3" spans="1:7" ht="30" x14ac:dyDescent="0.2">
      <c r="A3" s="5" t="s">
        <v>62</v>
      </c>
      <c r="B3" s="5">
        <v>480</v>
      </c>
      <c r="C3" s="6">
        <v>0.33</v>
      </c>
      <c r="F3" s="5" t="s">
        <v>62</v>
      </c>
      <c r="G3" s="6">
        <v>0.33</v>
      </c>
    </row>
    <row r="4" spans="1:7" x14ac:dyDescent="0.2">
      <c r="A4" s="5" t="s">
        <v>63</v>
      </c>
      <c r="B4" s="5">
        <v>53</v>
      </c>
      <c r="C4" s="6">
        <v>0.04</v>
      </c>
      <c r="F4" s="5" t="s">
        <v>71</v>
      </c>
      <c r="G4" s="6">
        <v>0.08</v>
      </c>
    </row>
    <row r="5" spans="1:7" ht="30" x14ac:dyDescent="0.2">
      <c r="A5" s="5" t="s">
        <v>14</v>
      </c>
      <c r="B5" s="5">
        <v>64</v>
      </c>
      <c r="C5" s="6">
        <v>0.04</v>
      </c>
      <c r="F5" s="5" t="s">
        <v>72</v>
      </c>
      <c r="G5" s="4">
        <v>0.06</v>
      </c>
    </row>
    <row r="6" spans="1:7" x14ac:dyDescent="0.2">
      <c r="A6" s="5" t="s">
        <v>64</v>
      </c>
      <c r="B6" s="5">
        <v>20</v>
      </c>
      <c r="C6" s="6">
        <v>0.01</v>
      </c>
      <c r="F6" s="5" t="s">
        <v>17</v>
      </c>
      <c r="G6" s="6">
        <v>0.06</v>
      </c>
    </row>
    <row r="7" spans="1:7" x14ac:dyDescent="0.2">
      <c r="A7" s="5" t="s">
        <v>65</v>
      </c>
      <c r="B7" s="5">
        <v>58</v>
      </c>
      <c r="C7" s="6">
        <v>0.04</v>
      </c>
      <c r="F7" s="5" t="s">
        <v>69</v>
      </c>
      <c r="G7" s="6">
        <v>0.22</v>
      </c>
    </row>
    <row r="8" spans="1:7" x14ac:dyDescent="0.2">
      <c r="A8" s="5" t="s">
        <v>66</v>
      </c>
      <c r="B8" s="5">
        <v>36</v>
      </c>
      <c r="C8" s="6">
        <v>0.02</v>
      </c>
      <c r="G8" s="4"/>
    </row>
    <row r="9" spans="1:7" x14ac:dyDescent="0.2">
      <c r="A9" s="5" t="s">
        <v>67</v>
      </c>
      <c r="B9" s="5">
        <v>40</v>
      </c>
      <c r="C9" s="6">
        <v>0.03</v>
      </c>
    </row>
    <row r="10" spans="1:7" x14ac:dyDescent="0.2">
      <c r="A10" s="5" t="s">
        <v>68</v>
      </c>
      <c r="B10" s="5">
        <v>35</v>
      </c>
      <c r="C10" s="6">
        <v>0.02</v>
      </c>
    </row>
    <row r="11" spans="1:7" x14ac:dyDescent="0.2">
      <c r="A11" s="5" t="s">
        <v>17</v>
      </c>
      <c r="B11" s="5">
        <v>22</v>
      </c>
      <c r="C11" s="6">
        <v>0.02</v>
      </c>
    </row>
    <row r="12" spans="1:7" x14ac:dyDescent="0.2">
      <c r="A12" s="5" t="s">
        <v>69</v>
      </c>
      <c r="B12" s="5">
        <v>318</v>
      </c>
      <c r="C12" s="6">
        <v>0.22</v>
      </c>
    </row>
    <row r="16" spans="1:7" x14ac:dyDescent="0.2">
      <c r="F16" s="5" t="s">
        <v>65</v>
      </c>
      <c r="G16" s="6">
        <v>0.04</v>
      </c>
    </row>
    <row r="17" spans="6:7" x14ac:dyDescent="0.2">
      <c r="F17" s="5" t="s">
        <v>67</v>
      </c>
      <c r="G17" s="6">
        <v>0.03</v>
      </c>
    </row>
    <row r="18" spans="6:7" x14ac:dyDescent="0.2">
      <c r="F18" s="5" t="s">
        <v>14</v>
      </c>
      <c r="G18" s="6">
        <v>0.04</v>
      </c>
    </row>
    <row r="19" spans="6:7" x14ac:dyDescent="0.2">
      <c r="F19" s="5" t="s">
        <v>66</v>
      </c>
      <c r="G19" s="6">
        <v>0.02</v>
      </c>
    </row>
    <row r="21" spans="6:7" x14ac:dyDescent="0.2">
      <c r="F21" s="5" t="s">
        <v>68</v>
      </c>
      <c r="G21" s="6">
        <v>0.02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Figure 1</vt:lpstr>
      <vt:lpstr>Figure 2</vt:lpstr>
      <vt:lpstr>Figure 3</vt:lpstr>
      <vt:lpstr>Figure 3b</vt:lpstr>
      <vt:lpstr>Figure 3c</vt:lpstr>
      <vt:lpstr>Figure 4</vt:lpstr>
      <vt:lpstr>Figure 4b</vt:lpstr>
      <vt:lpstr>Figure 5</vt:lpstr>
      <vt:lpstr>Figure 6</vt:lpstr>
      <vt:lpstr>Figure 7A</vt:lpstr>
      <vt:lpstr>Figure 7b</vt:lpstr>
      <vt:lpstr>Figure 8</vt:lpstr>
      <vt:lpstr>Figure 8b</vt:lpstr>
      <vt:lpstr>APPENDIX</vt:lpstr>
      <vt:lpstr>Figure A1</vt:lpstr>
      <vt:lpstr>Figure A2</vt:lpstr>
      <vt:lpstr>Figure A3</vt:lpstr>
      <vt:lpstr>Figure A4</vt:lpstr>
      <vt:lpstr>Contact items</vt:lpstr>
      <vt:lpstr>Quotes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Elizabeth Zeiger Friedmann</cp:lastModifiedBy>
  <dcterms:created xsi:type="dcterms:W3CDTF">2023-09-14T18:36:02Z</dcterms:created>
  <dcterms:modified xsi:type="dcterms:W3CDTF">2024-04-23T19:04:59Z</dcterms:modified>
</cp:coreProperties>
</file>